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Original_all_data" sheetId="1" state="visible" r:id="rId3"/>
    <sheet name="Final_after_tidying" sheetId="2" state="visible" r:id="rId4"/>
    <sheet name="Tidying Notes" sheetId="3" state="visible" r:id="rId5"/>
  </sheets>
  <definedNames>
    <definedName function="false" hidden="true" localSheetId="1" name="_xlnm._FilterDatabase" vbProcedure="false">Final_after_tidying!$A$6:$Q$339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<sst xmlns="http://schemas.openxmlformats.org/spreadsheetml/2006/main" count="6531" uniqueCount="1063">
  <si>
    <t xml:space="preserve">ML with warning/alarm</t>
  </si>
  <si>
    <t xml:space="preserve">Raw ML</t>
  </si>
  <si>
    <t xml:space="preserve">Reported at Time</t>
  </si>
  <si>
    <t xml:space="preserve">Correct</t>
  </si>
  <si>
    <t xml:space="preserve">Total</t>
  </si>
  <si>
    <t xml:space="preserve">TPR</t>
  </si>
  <si>
    <t xml:space="preserve">eventId</t>
  </si>
  <si>
    <t xml:space="preserve"> date</t>
  </si>
  <si>
    <t xml:space="preserve"> type</t>
  </si>
  <si>
    <t xml:space="preserve"> subType</t>
  </si>
  <si>
    <t xml:space="preserve"> userId</t>
  </si>
  <si>
    <t xml:space="preserve"> datasource</t>
  </si>
  <si>
    <t xml:space="preserve"> ML_24</t>
  </si>
  <si>
    <t xml:space="preserve"> ML_24.ml.ML1</t>
  </si>
  <si>
    <t xml:space="preserve"> reported</t>
  </si>
  <si>
    <t xml:space="preserve"> desc</t>
  </si>
  <si>
    <t xml:space="preserve"> 2022-02-17T06:35:30Z</t>
  </si>
  <si>
    <t xml:space="preserve"> Seizure</t>
  </si>
  <si>
    <t xml:space="preserve"> Other</t>
  </si>
  <si>
    <t xml:space="preserve"> unknown</t>
  </si>
  <si>
    <t xml:space="preserve"> ALARM</t>
  </si>
  <si>
    <t xml:space="preserve"> ----</t>
  </si>
  <si>
    <t xml:space="preserve"> _00000001210000001222122222222</t>
  </si>
  <si>
    <t xml:space="preserve"> _00000022200000022222022222222</t>
  </si>
  <si>
    <t xml:space="preserve">twisting to left.  right arm flapping.  left arm shaky with flapping as well</t>
  </si>
  <si>
    <t xml:space="preserve"> 06-03-2022 07:46:16</t>
  </si>
  <si>
    <t xml:space="preserve"> _00100000012221222221000000000</t>
  </si>
  <si>
    <t xml:space="preserve"> _02200000222220222220002000000</t>
  </si>
  <si>
    <t xml:space="preserve">kneeling up, looking to right</t>
  </si>
  <si>
    <t xml:space="preserve"> 11-04-2022 22:31:56</t>
  </si>
  <si>
    <t xml:space="preserve"> WARN</t>
  </si>
  <si>
    <t xml:space="preserve"> _00000000012222222222222222222</t>
  </si>
  <si>
    <t xml:space="preserve"> _00000200222222222222222222222</t>
  </si>
  <si>
    <t xml:space="preserve">on back. left arm flapping</t>
  </si>
  <si>
    <t xml:space="preserve"> 09-05-2022 02:37:25</t>
  </si>
  <si>
    <t xml:space="preserve"> Tonic-Clonic</t>
  </si>
  <si>
    <t xml:space="preserve"> </t>
  </si>
  <si>
    <t xml:space="preserve"> _00000122222222222222210010000</t>
  </si>
  <si>
    <t xml:space="preserve"> _00202222222222222222200220000</t>
  </si>
  <si>
    <t xml:space="preserve">null</t>
  </si>
  <si>
    <t xml:space="preserve"> 09-05-2022 02:39:02</t>
  </si>
  <si>
    <t xml:space="preserve"> _00000100000000100122222222100</t>
  </si>
  <si>
    <t xml:space="preserve"> _02002200000002202222222222000</t>
  </si>
  <si>
    <t xml:space="preserve"> 21-05-2022 06:16:41</t>
  </si>
  <si>
    <t xml:space="preserve"> _00001222222222222222222222222</t>
  </si>
  <si>
    <t xml:space="preserve"> _00022222222222222222222222222</t>
  </si>
  <si>
    <t xml:space="preserve">partial.  got stuck getting out of bed.  left arm waving, not shaking.</t>
  </si>
  <si>
    <t xml:space="preserve"> 28-05-2022 07:05:28</t>
  </si>
  <si>
    <t xml:space="preserve"> _00000100122222122222222222222</t>
  </si>
  <si>
    <t xml:space="preserve"> _02002202222222022222222222222</t>
  </si>
  <si>
    <t xml:space="preserve">Partial.  kneeling up, twisting to left, tapping wall with right hand, snarling.</t>
  </si>
  <si>
    <t xml:space="preserve"> 19-06-2022 07:40:11</t>
  </si>
  <si>
    <t xml:space="preserve"> Garmin</t>
  </si>
  <si>
    <t xml:space="preserve"> _00012222222222210001000000000</t>
  </si>
  <si>
    <t xml:space="preserve"> _00222222222222200022000000000</t>
  </si>
  <si>
    <t xml:space="preserve">both sides went stiff   rolled out of bed.  patting floor</t>
  </si>
  <si>
    <t xml:space="preserve"> 07-07-2022 07:16:53</t>
  </si>
  <si>
    <t xml:space="preserve"> _0000000000122222221</t>
  </si>
  <si>
    <t xml:space="preserve"> _0000000002222222220</t>
  </si>
  <si>
    <t xml:space="preserve">left arm flapping 1 hz</t>
  </si>
  <si>
    <t xml:space="preserve"> 07-07-2022 05:13:47</t>
  </si>
  <si>
    <t xml:space="preserve"> _00000000001222210</t>
  </si>
  <si>
    <t xml:space="preserve"> _00000000022222200</t>
  </si>
  <si>
    <t xml:space="preserve">waving fit</t>
  </si>
  <si>
    <t xml:space="preserve"> 18-07-2022 05:41:39</t>
  </si>
  <si>
    <t xml:space="preserve"> _000000000001000012222222222210</t>
  </si>
  <si>
    <t xml:space="preserve"> _000020200022000222222222222200</t>
  </si>
  <si>
    <t xml:space="preserve">short seizure.  left hand flapping.  rolled him onto his side so data iffy.</t>
  </si>
  <si>
    <t xml:space="preserve"> 18-08-2022 05:29:13</t>
  </si>
  <si>
    <t xml:space="preserve"> _000000000000000000000000000000</t>
  </si>
  <si>
    <t xml:space="preserve"> _000000000000020000000200000000</t>
  </si>
  <si>
    <t xml:space="preserve">sitting up, head turned to one side,  no shaking</t>
  </si>
  <si>
    <t xml:space="preserve"> 18-08-2022 06:42:13</t>
  </si>
  <si>
    <t xml:space="preserve"> _00000000012100122222222100000</t>
  </si>
  <si>
    <t xml:space="preserve"> _00000200222002222222222000000</t>
  </si>
  <si>
    <t xml:space="preserve">sitting up.  low frequency hand flapping.  did not alarm</t>
  </si>
  <si>
    <t xml:space="preserve"> 10-09-2022 06:33:28</t>
  </si>
  <si>
    <t xml:space="preserve"> _00000000000122222222222222222</t>
  </si>
  <si>
    <t xml:space="preserve"> _00000000002222222222222222222</t>
  </si>
  <si>
    <t xml:space="preserve">kneeling up, snarling, left hand low frequency flapping</t>
  </si>
  <si>
    <t xml:space="preserve"> 18-09-2022 04:29:16</t>
  </si>
  <si>
    <t xml:space="preserve"> _00000000000001222221210000000</t>
  </si>
  <si>
    <t xml:space="preserve"> _00000000000022222220200000000</t>
  </si>
  <si>
    <t xml:space="preserve">a short one- recovered quickly. on back</t>
  </si>
  <si>
    <t xml:space="preserve"> 2022-03-21T23:23:56Z</t>
  </si>
  <si>
    <t xml:space="preserve"> None</t>
  </si>
  <si>
    <t xml:space="preserve"> _0000000000000000000000000000</t>
  </si>
  <si>
    <t xml:space="preserve"> 13-04-2022 23:24:55</t>
  </si>
  <si>
    <t xml:space="preserve"> _00122210012221000122121</t>
  </si>
  <si>
    <t xml:space="preserve"> _02222200222220002222020</t>
  </si>
  <si>
    <t xml:space="preserve"> 17-04-2022 23:01:48</t>
  </si>
  <si>
    <t xml:space="preserve"> _00000100000012210000000</t>
  </si>
  <si>
    <t xml:space="preserve"> _00202200000222200000200</t>
  </si>
  <si>
    <t xml:space="preserve"> 28-04-2022 21:53:42</t>
  </si>
  <si>
    <t xml:space="preserve"> _000000001000000000000100000</t>
  </si>
  <si>
    <t xml:space="preserve"> _002000022000000200202200000</t>
  </si>
  <si>
    <t xml:space="preserve"> 01-05-2022 22:03:45</t>
  </si>
  <si>
    <t xml:space="preserve"> Aura</t>
  </si>
  <si>
    <t xml:space="preserve"> _001221000012221000001000100</t>
  </si>
  <si>
    <t xml:space="preserve"> _022220000222220000022002202</t>
  </si>
  <si>
    <t xml:space="preserve"> 16-05-2022 21:51:29</t>
  </si>
  <si>
    <t xml:space="preserve"> _00000122222210000000000</t>
  </si>
  <si>
    <t xml:space="preserve"> _00002222222200020000000</t>
  </si>
  <si>
    <t xml:space="preserve"> 23-05-2022 21:17:07</t>
  </si>
  <si>
    <t xml:space="preserve"> _00001221000000000000000000</t>
  </si>
  <si>
    <t xml:space="preserve"> _00022220000000020000020000</t>
  </si>
  <si>
    <t xml:space="preserve"> 23-05-2022 21:22:14</t>
  </si>
  <si>
    <t xml:space="preserve"> _000000001210001222100000000</t>
  </si>
  <si>
    <t xml:space="preserve"> _000000022200022222000000000</t>
  </si>
  <si>
    <t xml:space="preserve"> 29-05-2022 21:07:24</t>
  </si>
  <si>
    <t xml:space="preserve"> _000100000000000001222210</t>
  </si>
  <si>
    <t xml:space="preserve"> _002200000000000022222200</t>
  </si>
  <si>
    <t xml:space="preserve"> 30-05-2022 23:20:04</t>
  </si>
  <si>
    <t xml:space="preserve"> _000100000000012221000000000000</t>
  </si>
  <si>
    <t xml:space="preserve"> _002200020000222220020002000000</t>
  </si>
  <si>
    <t xml:space="preserve"> 01-06-2022 21:37:55</t>
  </si>
  <si>
    <t xml:space="preserve"> _00000000000001001222221001210</t>
  </si>
  <si>
    <t xml:space="preserve"> _00000000002022022222220022200</t>
  </si>
  <si>
    <t xml:space="preserve"> 01-06-2022 22:12:24</t>
  </si>
  <si>
    <t xml:space="preserve"> _00000000000000000000000000000</t>
  </si>
  <si>
    <t xml:space="preserve"> 07-06-2022 16:04:42</t>
  </si>
  <si>
    <t xml:space="preserve"> _00100000000122210000000</t>
  </si>
  <si>
    <t xml:space="preserve"> _02200000002222200000000</t>
  </si>
  <si>
    <t xml:space="preserve"> 09-06-2022 22:59:41</t>
  </si>
  <si>
    <t xml:space="preserve"> _000001222100012212210000000</t>
  </si>
  <si>
    <t xml:space="preserve"> _020022222000222202200000000</t>
  </si>
  <si>
    <t xml:space="preserve"> 09-06-2022 23:00:05</t>
  </si>
  <si>
    <t xml:space="preserve"> _000122210001221221000000000000</t>
  </si>
  <si>
    <t xml:space="preserve"> _002222200022220220000000000000</t>
  </si>
  <si>
    <t xml:space="preserve"> 11-06-2022 15:59:48</t>
  </si>
  <si>
    <t xml:space="preserve"> _000000000000002000000000000000</t>
  </si>
  <si>
    <t xml:space="preserve"> 11-06-2022 16:01:22</t>
  </si>
  <si>
    <t xml:space="preserve"> null</t>
  </si>
  <si>
    <t xml:space="preserve"> _00000000000000122212</t>
  </si>
  <si>
    <t xml:space="preserve"> _00000000000002222202</t>
  </si>
  <si>
    <t xml:space="preserve"> 12-06-2022 17:57:21</t>
  </si>
  <si>
    <t xml:space="preserve"> _000000000000100122210000000000</t>
  </si>
  <si>
    <t xml:space="preserve"> _000000000002202222200000000000</t>
  </si>
  <si>
    <t xml:space="preserve"> 13-06-2022 21:08:48</t>
  </si>
  <si>
    <t xml:space="preserve"> _0000000000000000000000001000012</t>
  </si>
  <si>
    <t xml:space="preserve"> _0200000000000000000000022000222</t>
  </si>
  <si>
    <t xml:space="preserve"> 13-06-2022 21:10:22</t>
  </si>
  <si>
    <t xml:space="preserve"> _0000001000012222100000000000000</t>
  </si>
  <si>
    <t xml:space="preserve"> _0000022000222222000000000000000</t>
  </si>
  <si>
    <t xml:space="preserve">5 seconds burst after the end of clonic jerking</t>
  </si>
  <si>
    <t xml:space="preserve"> 16-06-2022 00:24:25</t>
  </si>
  <si>
    <t xml:space="preserve"> _0012100000000000000000</t>
  </si>
  <si>
    <t xml:space="preserve"> _0222000000000000000000</t>
  </si>
  <si>
    <t xml:space="preserve"> 16-06-2022 00:29:01</t>
  </si>
  <si>
    <t xml:space="preserve"> _0001000000000122222210000000000</t>
  </si>
  <si>
    <t xml:space="preserve"> _0022000000202222222200002000000</t>
  </si>
  <si>
    <t xml:space="preserve"> 16-06-2022 21:20:19</t>
  </si>
  <si>
    <t xml:space="preserve"> _000121000000122100000001000012</t>
  </si>
  <si>
    <t xml:space="preserve"> _002220000002222000000022000222</t>
  </si>
  <si>
    <t xml:space="preserve"> 16-06-2022 21:21:58</t>
  </si>
  <si>
    <t xml:space="preserve"> _0000100001222221000000000000000</t>
  </si>
  <si>
    <t xml:space="preserve"> _0002200022222220000000000000000</t>
  </si>
  <si>
    <t xml:space="preserve">post seizure alert</t>
  </si>
  <si>
    <t xml:space="preserve"> 18-06-2022 23:15:02</t>
  </si>
  <si>
    <t xml:space="preserve"> _0000000121212210000000000000000</t>
  </si>
  <si>
    <t xml:space="preserve"> _0000002220202200002000000000000</t>
  </si>
  <si>
    <t xml:space="preserve"> 21-06-2022 20:35:10</t>
  </si>
  <si>
    <t xml:space="preserve"> _0001000000000000000012100000000</t>
  </si>
  <si>
    <t xml:space="preserve"> _0022000000000000000222000000200</t>
  </si>
  <si>
    <t xml:space="preserve"> 21-06-2022 20:37:44</t>
  </si>
  <si>
    <t xml:space="preserve"> _000001000000000000000000000000</t>
  </si>
  <si>
    <t xml:space="preserve"> _000022000000000000000000000000</t>
  </si>
  <si>
    <t xml:space="preserve"> 21-06-2022 20:39:07</t>
  </si>
  <si>
    <t xml:space="preserve"> _0000000000000000000000000</t>
  </si>
  <si>
    <t xml:space="preserve"> _0000000000000002000000000</t>
  </si>
  <si>
    <t xml:space="preserve"> 22-06-2022 20:19:27</t>
  </si>
  <si>
    <t xml:space="preserve"> _000000121000000000000</t>
  </si>
  <si>
    <t xml:space="preserve"> _000002220000000000002</t>
  </si>
  <si>
    <t xml:space="preserve"> 22-06-2022 20:21:01</t>
  </si>
  <si>
    <t xml:space="preserve"> _0000000000001210000000000000000</t>
  </si>
  <si>
    <t xml:space="preserve"> _0000000000022200000000000000000</t>
  </si>
  <si>
    <t xml:space="preserve"> 24-06-2022 18:41:21</t>
  </si>
  <si>
    <t xml:space="preserve"> _000000000000000000001000000012</t>
  </si>
  <si>
    <t xml:space="preserve"> _000000020000002000022020000222</t>
  </si>
  <si>
    <t xml:space="preserve"> 24-06-2022 18:42:45</t>
  </si>
  <si>
    <t xml:space="preserve"> _0000100000001210000000012222221</t>
  </si>
  <si>
    <t xml:space="preserve"> _0002202000022200200000222222220</t>
  </si>
  <si>
    <t xml:space="preserve"> 26-06-2022 23:37:55</t>
  </si>
  <si>
    <t xml:space="preserve"> _0000000000001000000000000012222</t>
  </si>
  <si>
    <t xml:space="preserve"> _0000000000022000000000020222222</t>
  </si>
  <si>
    <t xml:space="preserve"> 26-06-2022 23:39:39</t>
  </si>
  <si>
    <t xml:space="preserve"> _0000012222221000000000000000000</t>
  </si>
  <si>
    <t xml:space="preserve"> _0020222222220020000000000000000</t>
  </si>
  <si>
    <t xml:space="preserve"> 27-06-2022 00:04:09</t>
  </si>
  <si>
    <t xml:space="preserve"> _0000000001222100</t>
  </si>
  <si>
    <t xml:space="preserve"> _0000200022222000</t>
  </si>
  <si>
    <t xml:space="preserve"> 28-06-2022 21:24:08</t>
  </si>
  <si>
    <t xml:space="preserve"> _0012210012212222222210000000000</t>
  </si>
  <si>
    <t xml:space="preserve"> _0222200222202222222200000000000</t>
  </si>
  <si>
    <t xml:space="preserve"> 01-07-2022 21:15:02</t>
  </si>
  <si>
    <t xml:space="preserve"> _0000000000122222210000000000000</t>
  </si>
  <si>
    <t xml:space="preserve"> _0000000202222222200000000000000</t>
  </si>
  <si>
    <t xml:space="preserve"> 02-07-2022 23:54:39</t>
  </si>
  <si>
    <t xml:space="preserve"> _000001000100000000000</t>
  </si>
  <si>
    <t xml:space="preserve"> _020022002200000202000</t>
  </si>
  <si>
    <t xml:space="preserve"> 07-07-2022 18:45:46</t>
  </si>
  <si>
    <t xml:space="preserve"> _0000000000222222200000000000000</t>
  </si>
  <si>
    <t xml:space="preserve"> 07-07-2022 18:51:07</t>
  </si>
  <si>
    <t xml:space="preserve"> _000000000122221001</t>
  </si>
  <si>
    <t xml:space="preserve"> _000000002222220022</t>
  </si>
  <si>
    <t xml:space="preserve"> 12-07-2022 16:22:04</t>
  </si>
  <si>
    <t xml:space="preserve"> _0000000000</t>
  </si>
  <si>
    <t xml:space="preserve"> 17-07-2022 22:39:36</t>
  </si>
  <si>
    <t xml:space="preserve"> _000001221222222221210000000000</t>
  </si>
  <si>
    <t xml:space="preserve"> _000022220222222220200000000000</t>
  </si>
  <si>
    <t xml:space="preserve"> 19-07-2022 15:25:03</t>
  </si>
  <si>
    <t xml:space="preserve"> _0000000000001222212100000000000</t>
  </si>
  <si>
    <t xml:space="preserve"> _0002000000022222202000000000000</t>
  </si>
  <si>
    <t xml:space="preserve"> 20-07-2022 14:46:10</t>
  </si>
  <si>
    <t xml:space="preserve"> 20-07-2022 14:47:58</t>
  </si>
  <si>
    <t xml:space="preserve"> _0000000000000000012100000000</t>
  </si>
  <si>
    <t xml:space="preserve"> _0000000002000000222000000000</t>
  </si>
  <si>
    <t xml:space="preserve"> 20-07-2022 22:16:46</t>
  </si>
  <si>
    <t xml:space="preserve"> _0000000000000000000000</t>
  </si>
  <si>
    <t xml:space="preserve"> _0000000020000000000000</t>
  </si>
  <si>
    <t xml:space="preserve"> 20-07-2022 22:17:26</t>
  </si>
  <si>
    <t xml:space="preserve"> _00000000</t>
  </si>
  <si>
    <t xml:space="preserve"> 24-07-2022 16:28:20</t>
  </si>
  <si>
    <t xml:space="preserve"> _000000012222122221000000000000</t>
  </si>
  <si>
    <t xml:space="preserve"> _000000222222022220000020000000</t>
  </si>
  <si>
    <t xml:space="preserve"> 25-07-2022 21:31:14</t>
  </si>
  <si>
    <t xml:space="preserve"> _0010000121000000000000000000000</t>
  </si>
  <si>
    <t xml:space="preserve"> _0220002220000000000000000000002</t>
  </si>
  <si>
    <t xml:space="preserve"> 25-07-2022 21:36:05</t>
  </si>
  <si>
    <t xml:space="preserve"> 25-08-2022 22:46:28</t>
  </si>
  <si>
    <t xml:space="preserve"> _001000000000100000000000000000</t>
  </si>
  <si>
    <t xml:space="preserve"> _022000000002200000000000000000</t>
  </si>
  <si>
    <t xml:space="preserve"> 25-08-2022 22:48:08</t>
  </si>
  <si>
    <t xml:space="preserve"> _000000000000000000000000000012</t>
  </si>
  <si>
    <t xml:space="preserve"> _000000000000000000000000000222</t>
  </si>
  <si>
    <t xml:space="preserve"> 03-09-2022 19:54:04</t>
  </si>
  <si>
    <t xml:space="preserve"> _0000000000012221000000000000</t>
  </si>
  <si>
    <t xml:space="preserve"> _0020020000222220000000000000</t>
  </si>
  <si>
    <t xml:space="preserve"> 06-09-2022 17:12:31</t>
  </si>
  <si>
    <t xml:space="preserve"> _00012100000000000000000000000</t>
  </si>
  <si>
    <t xml:space="preserve"> _00222000000000000000000000000</t>
  </si>
  <si>
    <t xml:space="preserve"> 23-04-2022 14:28:55</t>
  </si>
  <si>
    <t xml:space="preserve"> _001222210000001222100122</t>
  </si>
  <si>
    <t xml:space="preserve"> _022222200200022222002222</t>
  </si>
  <si>
    <t xml:space="preserve">Cluster Seizure</t>
  </si>
  <si>
    <t xml:space="preserve"> 23-04-2022 14:33:09</t>
  </si>
  <si>
    <t xml:space="preserve"> _00000000000122210000010010</t>
  </si>
  <si>
    <t xml:space="preserve"> _00000000202222200000220220</t>
  </si>
  <si>
    <t xml:space="preserve"> 01-07-2022 05:56:52</t>
  </si>
  <si>
    <t xml:space="preserve"> _00000000000000000000000000000000</t>
  </si>
  <si>
    <t xml:space="preserve"> 17-07-2022 05:56:48</t>
  </si>
  <si>
    <t xml:space="preserve"> _0000122222100000000000000</t>
  </si>
  <si>
    <t xml:space="preserve"> _0002222222000000000000000</t>
  </si>
  <si>
    <t xml:space="preserve">In sleep.  First one for 3 weeks.</t>
  </si>
  <si>
    <t xml:space="preserve"> 28-07-2022 03:42:26</t>
  </si>
  <si>
    <t xml:space="preserve"> _00000000000122222222210000000</t>
  </si>
  <si>
    <t xml:space="preserve"> _00000000002222222222200000000</t>
  </si>
  <si>
    <t xml:space="preserve">Whilst asleep</t>
  </si>
  <si>
    <t xml:space="preserve"> 29-08-2022 05:17:22</t>
  </si>
  <si>
    <t xml:space="preserve"> _000000000000000012100000000</t>
  </si>
  <si>
    <t xml:space="preserve"> _000000000000000222000000000</t>
  </si>
  <si>
    <t xml:space="preserve"> 29-08-2022 07:54:00</t>
  </si>
  <si>
    <t xml:space="preserve"> _00000000012222222100100001222</t>
  </si>
  <si>
    <t xml:space="preserve"> _00000000222222222002202022222</t>
  </si>
  <si>
    <t xml:space="preserve">Continuation of seizure</t>
  </si>
  <si>
    <t xml:space="preserve"> 06-09-2022 00:15:55</t>
  </si>
  <si>
    <t xml:space="preserve"> _000000122222221000000000000</t>
  </si>
  <si>
    <t xml:space="preserve"> _000002222222220000000000000</t>
  </si>
  <si>
    <t xml:space="preserve"> 06-09-2022 21:56:00</t>
  </si>
  <si>
    <t xml:space="preserve"> _00001000000000000000000000000</t>
  </si>
  <si>
    <t xml:space="preserve"> _00022000000000000000000000000</t>
  </si>
  <si>
    <t xml:space="preserve">was at 5 AM</t>
  </si>
  <si>
    <t xml:space="preserve"> 11-10-2022 07:30:46</t>
  </si>
  <si>
    <t xml:space="preserve"> _00000000000100122222222222221</t>
  </si>
  <si>
    <t xml:space="preserve"> _00000000002202222222222222220</t>
  </si>
  <si>
    <t xml:space="preserve">standing. going round in circles.  Then sitting down with vigorous flapping of left hand</t>
  </si>
  <si>
    <t xml:space="preserve"> 12-10-2022 01:47:15</t>
  </si>
  <si>
    <t xml:space="preserve"> _00000000000000001210000001221</t>
  </si>
  <si>
    <t xml:space="preserve"> _00000000000000022200000022220</t>
  </si>
  <si>
    <t xml:space="preserve">kneeling up, twisting to right</t>
  </si>
  <si>
    <t xml:space="preserve"> 12-10-2022 01:48:04</t>
  </si>
  <si>
    <t xml:space="preserve"> _0000000121000000122122222222</t>
  </si>
  <si>
    <t xml:space="preserve"> _0000002220000002222022222222</t>
  </si>
  <si>
    <t xml:space="preserve"> 2022-10-25T20:13:20Z</t>
  </si>
  <si>
    <t xml:space="preserve"> _00000000121222222210000000000</t>
  </si>
  <si>
    <t xml:space="preserve"> _00000002220222222200020000000</t>
  </si>
  <si>
    <t xml:space="preserve"> 2022-10-28T00:03:16Z</t>
  </si>
  <si>
    <t xml:space="preserve"> _00000000000000001210000000000</t>
  </si>
  <si>
    <t xml:space="preserve"> _00000200000000022200000200000</t>
  </si>
  <si>
    <t xml:space="preserve"> 2022-10-28T00:06:08Z</t>
  </si>
  <si>
    <t xml:space="preserve"> _0000000000012222222100</t>
  </si>
  <si>
    <t xml:space="preserve"> _0002002000222222222000</t>
  </si>
  <si>
    <t xml:space="preserve"> 2022-11-02T16:28:20Z</t>
  </si>
  <si>
    <t xml:space="preserve"> _000000000000000000000000</t>
  </si>
  <si>
    <t xml:space="preserve"> _000000000000000200000002</t>
  </si>
  <si>
    <t xml:space="preserve"> 2022-11-02T16:30:04Z</t>
  </si>
  <si>
    <t xml:space="preserve"> _00000000012222222221000000000</t>
  </si>
  <si>
    <t xml:space="preserve"> _20000000222222222220000000000</t>
  </si>
  <si>
    <t xml:space="preserve"> 2022-11-20T13:11:26Z</t>
  </si>
  <si>
    <t xml:space="preserve"> 2022-11-20T15:55:06Z</t>
  </si>
  <si>
    <t xml:space="preserve"> 2022-12-17T06:50:42Z</t>
  </si>
  <si>
    <t xml:space="preserve"> _000000000000122222222222100</t>
  </si>
  <si>
    <t xml:space="preserve"> _000000020202222222222222000</t>
  </si>
  <si>
    <t xml:space="preserve"> 2023-01-21T23:18:26Z</t>
  </si>
  <si>
    <t xml:space="preserve"> _00000000000001222210000000000</t>
  </si>
  <si>
    <t xml:space="preserve"> _00000000000022222200000000000</t>
  </si>
  <si>
    <t xml:space="preserve"> 2023-01-22T04:08:19Z</t>
  </si>
  <si>
    <t xml:space="preserve">possibly prelude to this mornings other ones - check data</t>
  </si>
  <si>
    <t xml:space="preserve"> 2023-01-22T08:02:33Z</t>
  </si>
  <si>
    <t xml:space="preserve"> _00000000000000000000000122222</t>
  </si>
  <si>
    <t xml:space="preserve"> _00000000000000000000002222222</t>
  </si>
  <si>
    <t xml:space="preserve">partial - left arm flapping.  propped up on right arm.   paralysed down left side for a few minutes afterwards</t>
  </si>
  <si>
    <t xml:space="preserve"> 2023-01-22T08:03:28Z</t>
  </si>
  <si>
    <t xml:space="preserve"> _00000000000012222222222100000</t>
  </si>
  <si>
    <t xml:space="preserve"> _00000000000222222222222000000</t>
  </si>
  <si>
    <t xml:space="preserve"> 2023-02-08T05:16:31Z</t>
  </si>
  <si>
    <t xml:space="preserve"> _00000000000000010000012222222</t>
  </si>
  <si>
    <t xml:space="preserve"> _00000000000000220000222222222</t>
  </si>
  <si>
    <t xml:space="preserve">partial - propped up, left arm flapping</t>
  </si>
  <si>
    <t xml:space="preserve"> 2023-02-08T05:19:29Z</t>
  </si>
  <si>
    <t xml:space="preserve"> _00012222222222221000000000000</t>
  </si>
  <si>
    <t xml:space="preserve"> _00222222222222220020000200020</t>
  </si>
  <si>
    <t xml:space="preserve"> 2022-12-17T06:51:37Z</t>
  </si>
  <si>
    <t xml:space="preserve"> _0001001222222221000000000000</t>
  </si>
  <si>
    <t xml:space="preserve"> _0022022222222220000000000000</t>
  </si>
  <si>
    <t xml:space="preserve">rolled over onto back while waking</t>
  </si>
  <si>
    <t xml:space="preserve"> 2023-01-22T04:31:36Z</t>
  </si>
  <si>
    <t xml:space="preserve">very short.  not sure if it was a real seizure but looked like one getting stuck while sitting up.  but went straight to sleep afterwards</t>
  </si>
  <si>
    <t xml:space="preserve"> 2023-02-21T03:55:57Z</t>
  </si>
  <si>
    <t xml:space="preserve"> _000000000000012222222222222100</t>
  </si>
  <si>
    <t xml:space="preserve"> _000000000000222222222222222000</t>
  </si>
  <si>
    <t xml:space="preserve">Asleep, lying on front.  movement not visible on video.  snuffling sounds</t>
  </si>
  <si>
    <t xml:space="preserve"> 2023-02-21T03:58:37Z</t>
  </si>
  <si>
    <t xml:space="preserve"> _000000000000122222222222222</t>
  </si>
  <si>
    <t xml:space="preserve"> _000000000002222222222222222</t>
  </si>
  <si>
    <t xml:space="preserve"> 2023-02-21T04:00:30Z</t>
  </si>
  <si>
    <t xml:space="preserve"> _000012100000000000000000000</t>
  </si>
  <si>
    <t xml:space="preserve"> _000222000000000000000000000</t>
  </si>
  <si>
    <t xml:space="preserve">recovering from tonic clinic- a bit twitchy.</t>
  </si>
  <si>
    <t xml:space="preserve"> 2023-03-21T06:33:02Z</t>
  </si>
  <si>
    <t xml:space="preserve"> _00000000122222222210000010000</t>
  </si>
  <si>
    <t xml:space="preserve"> _00000002222222222200200220000</t>
  </si>
  <si>
    <t xml:space="preserve">Partial.  left arm large amplitude flapping during manual alarm.   automatic alarm initiated a bit later as amplitude reduced.</t>
  </si>
  <si>
    <t xml:space="preserve"> 2023-03-22T04:12:49Z</t>
  </si>
  <si>
    <t xml:space="preserve"> _00000000122222100000000000000</t>
  </si>
  <si>
    <t xml:space="preserve"> _00000002222222000000000000000</t>
  </si>
  <si>
    <t xml:space="preserve"> 2023-03-20T20:02:09Z</t>
  </si>
  <si>
    <t xml:space="preserve"> _00000000000000121222222122221</t>
  </si>
  <si>
    <t xml:space="preserve"> _00000000000002220222222022220</t>
  </si>
  <si>
    <t xml:space="preserve"> 2023-04-05T04:23:20Z</t>
  </si>
  <si>
    <t xml:space="preserve"> _00000001222222210000000000000</t>
  </si>
  <si>
    <t xml:space="preserve"> _00000022222222200200000000000</t>
  </si>
  <si>
    <t xml:space="preserve">partial, small one.  not much arm movement</t>
  </si>
  <si>
    <t xml:space="preserve"> 2023-04-17T01:26:06Z</t>
  </si>
  <si>
    <t xml:space="preserve">not sure if this is a real one or not - needs analysis to  check.</t>
  </si>
  <si>
    <t xml:space="preserve"> 2023-04-17T05:51:17Z</t>
  </si>
  <si>
    <t xml:space="preserve"> _00000000000012122222222222100</t>
  </si>
  <si>
    <t xml:space="preserve"> _00000000020222022222222222000</t>
  </si>
  <si>
    <t xml:space="preserve">partial.  left arm flapping about 1-2Hz</t>
  </si>
  <si>
    <t xml:space="preserve"> 2023-04-09T21:03:24Z</t>
  </si>
  <si>
    <t xml:space="preserve"> _00000000000122222221000000000</t>
  </si>
  <si>
    <t xml:space="preserve"> _00000000002222222220000000000</t>
  </si>
  <si>
    <t xml:space="preserve"> 2023-04-29T07:50:30Z</t>
  </si>
  <si>
    <t xml:space="preserve"> _0001222222210000000000000000</t>
  </si>
  <si>
    <t xml:space="preserve"> _0022222222200000002000000000</t>
  </si>
  <si>
    <t xml:space="preserve">quite short as he woke up.  left arm flapping, then trapped under him</t>
  </si>
  <si>
    <t xml:space="preserve"> 2023-04-29T07:51:30Z</t>
  </si>
  <si>
    <t xml:space="preserve"> _0000000200000000000000000000</t>
  </si>
  <si>
    <t xml:space="preserve"> 2023-05-05T06:28:47Z</t>
  </si>
  <si>
    <t xml:space="preserve"> _00000000000000000122222222222</t>
  </si>
  <si>
    <t xml:space="preserve"> _00000000000000002222222222222</t>
  </si>
  <si>
    <t xml:space="preserve">A big one.  nearly used rescue medication but he showed signs of coming out of it after about 3 mins.</t>
  </si>
  <si>
    <t xml:space="preserve"> 2023-05-05T06:31:59Z</t>
  </si>
  <si>
    <t xml:space="preserve"> _00000012222222221000000000000</t>
  </si>
  <si>
    <t xml:space="preserve"> _00000222222222220000000000000</t>
  </si>
  <si>
    <t xml:space="preserve">recovering from 0629 one</t>
  </si>
  <si>
    <t xml:space="preserve"> 2023-05-05T06:33:47Z</t>
  </si>
  <si>
    <t xml:space="preserve"> _00000000000000100010012210000</t>
  </si>
  <si>
    <t xml:space="preserve"> _00000000000002200220222200202</t>
  </si>
  <si>
    <t xml:space="preserve"> 2023-05-01T22:51:30Z</t>
  </si>
  <si>
    <t xml:space="preserve"> 2023-05-15T06:47:10Z</t>
  </si>
  <si>
    <t xml:space="preserve"> _00000000000000012222222222221</t>
  </si>
  <si>
    <t xml:space="preserve"> _00000000000020222222222222220</t>
  </si>
  <si>
    <t xml:space="preserve">partial.   arm flapping</t>
  </si>
  <si>
    <t xml:space="preserve"> 2023-05-15T06:48:45Z</t>
  </si>
  <si>
    <t xml:space="preserve"> _000122221221210000000000000</t>
  </si>
  <si>
    <t xml:space="preserve"> _002222220220200000000000002</t>
  </si>
  <si>
    <t xml:space="preserve"> 2023-05-15T06:08:31Z</t>
  </si>
  <si>
    <t xml:space="preserve"> 2023-06-17T06:35:08Z</t>
  </si>
  <si>
    <t xml:space="preserve"> _00000000000012222222221001222</t>
  </si>
  <si>
    <t xml:space="preserve"> _00000000020222222222220022222</t>
  </si>
  <si>
    <t xml:space="preserve">Partial- left arm flapping</t>
  </si>
  <si>
    <t xml:space="preserve"> 2023-06-17T06:36:10Z</t>
  </si>
  <si>
    <t xml:space="preserve"> _00122222221001222100000000000</t>
  </si>
  <si>
    <t xml:space="preserve"> _02222222220022222002000000000</t>
  </si>
  <si>
    <t xml:space="preserve"> 2023-06-25T02:55:30Z</t>
  </si>
  <si>
    <t xml:space="preserve"> _000000000012122212222</t>
  </si>
  <si>
    <t xml:space="preserve"> _000000000222022202222</t>
  </si>
  <si>
    <t xml:space="preserve"> 2023-06-30T05:10:30Z</t>
  </si>
  <si>
    <t xml:space="preserve"> _0000000000000000</t>
  </si>
  <si>
    <t xml:space="preserve"> 2023-07-23T00:59:14Z</t>
  </si>
  <si>
    <t xml:space="preserve"> _00000000000012222210000000000</t>
  </si>
  <si>
    <t xml:space="preserve"> _00000000200222222200020000000</t>
  </si>
  <si>
    <t xml:space="preserve"> 2023-07-23T01:00:26Z</t>
  </si>
  <si>
    <t xml:space="preserve"> _0001000000000000000000000000</t>
  </si>
  <si>
    <t xml:space="preserve"> _0022000200000000200200000000</t>
  </si>
  <si>
    <t xml:space="preserve"> 2023-08-21T04:43:48Z</t>
  </si>
  <si>
    <t xml:space="preserve"> _00012100000000121221000000000</t>
  </si>
  <si>
    <t xml:space="preserve"> _00222000000002220220000000000</t>
  </si>
  <si>
    <t xml:space="preserve">very end of a partial seizure - watch had come off wrist so missed most of it.</t>
  </si>
  <si>
    <t xml:space="preserve"> 2023-09-06T05:42:13Z</t>
  </si>
  <si>
    <t xml:space="preserve"> _00000000000122221000000000000</t>
  </si>
  <si>
    <t xml:space="preserve"> _00000202002222220000000000000</t>
  </si>
  <si>
    <t xml:space="preserve">partial.  short one.  got stuck getting up</t>
  </si>
  <si>
    <t xml:space="preserve"> 2023-09-10T07:47:38Z</t>
  </si>
  <si>
    <t xml:space="preserve"> _00000000000000001000001222222</t>
  </si>
  <si>
    <t xml:space="preserve"> _00000020002000022000022222222</t>
  </si>
  <si>
    <t xml:space="preserve">partial.  watch arm not moving much.</t>
  </si>
  <si>
    <t xml:space="preserve"> 2023-09-10T07:48:48Z</t>
  </si>
  <si>
    <t xml:space="preserve"> _000000001222222222122222222</t>
  </si>
  <si>
    <t xml:space="preserve"> _002000022222222222022222222</t>
  </si>
  <si>
    <t xml:space="preserve"> 2023-09-12T23:16:11Z</t>
  </si>
  <si>
    <t xml:space="preserve"> _0000000001222222222100000000000000</t>
  </si>
  <si>
    <t xml:space="preserve"> _0000000022222222222000000000000000</t>
  </si>
  <si>
    <t xml:space="preserve"> 2023-09-20T06:00:41Z</t>
  </si>
  <si>
    <t xml:space="preserve"> _000000000000100122222222221000</t>
  </si>
  <si>
    <t xml:space="preserve"> _000000020002202222222222220000</t>
  </si>
  <si>
    <t xml:space="preserve">Partial.  left arm flapping vigorously while kneeling up.</t>
  </si>
  <si>
    <t xml:space="preserve"> 2023-10-05T07:07:34Z</t>
  </si>
  <si>
    <t xml:space="preserve"> _00000000000000000000020200000</t>
  </si>
  <si>
    <t xml:space="preserve">small partial.  stuck on all fours.  recovered quickly.</t>
  </si>
  <si>
    <t xml:space="preserve"> 2023-10-10T05:13:52Z</t>
  </si>
  <si>
    <t xml:space="preserve"> _00000012222221000000121000000</t>
  </si>
  <si>
    <t xml:space="preserve"> _00000222222220000002220000000</t>
  </si>
  <si>
    <t xml:space="preserve">Small partial.  got stuck getting out of bed.  on back.  low frequency flapping of left arm before manual alarm raised.</t>
  </si>
  <si>
    <t xml:space="preserve"> 2023-10-21T06:19:16Z</t>
  </si>
  <si>
    <t xml:space="preserve"> _00000000001000012222222210000</t>
  </si>
  <si>
    <t xml:space="preserve"> _00000000022000222222222200000</t>
  </si>
  <si>
    <t xml:space="preserve">rolled onto back from sleeping.  left arm flapping</t>
  </si>
  <si>
    <t xml:space="preserve"> 2023-10-08T03:21:16Z</t>
  </si>
  <si>
    <t xml:space="preserve"> _00000000000000000000000000000000000</t>
  </si>
  <si>
    <t xml:space="preserve">probably. not confirmed</t>
  </si>
  <si>
    <t xml:space="preserve"> 2023-10-27T07:00:48Z</t>
  </si>
  <si>
    <t xml:space="preserve">partial complex</t>
  </si>
  <si>
    <t xml:space="preserve"> 2023-10-26T05:51:44Z</t>
  </si>
  <si>
    <t xml:space="preserve"> 2023-11-26T07:12:25Z</t>
  </si>
  <si>
    <t xml:space="preserve"> _00000000001222222122222100000</t>
  </si>
  <si>
    <t xml:space="preserve"> _00020002022222222022222000000</t>
  </si>
  <si>
    <t xml:space="preserve">A big one.  Got out of bed, fell over.   moved into recovery position after manual alarm raised.  Stood up 07:11:25, circled a couple of times, fell onto back 07:11:57, rolled into recovery position 07:12:38</t>
  </si>
  <si>
    <t xml:space="preserve"> 2023-11-26T07:15:17Z</t>
  </si>
  <si>
    <t xml:space="preserve"> _00000000122222221222222222210</t>
  </si>
  <si>
    <t xml:space="preserve"> _00000002222222220222222222200</t>
  </si>
  <si>
    <t xml:space="preserve">A second one while coming out of 07:12 one</t>
  </si>
  <si>
    <t xml:space="preserve"> 2023-11-25T13:54:14Z</t>
  </si>
  <si>
    <t xml:space="preserve"> _00000000000122210000000000000000000</t>
  </si>
  <si>
    <t xml:space="preserve"> _00000000002222200002000000000000000</t>
  </si>
  <si>
    <t xml:space="preserve"> 2023-11-25T14:54:35Z</t>
  </si>
  <si>
    <t xml:space="preserve"> _00000001222222222121000000000000000</t>
  </si>
  <si>
    <t xml:space="preserve"> _00000022222222222020000000202000000</t>
  </si>
  <si>
    <t xml:space="preserve"> 2023-12-24T08:23:30Z</t>
  </si>
  <si>
    <t xml:space="preserve"> _00000000000000000001000001222</t>
  </si>
  <si>
    <t xml:space="preserve"> _00000000000000200022000022222</t>
  </si>
  <si>
    <t xml:space="preserve">Partial.  kneeling up, turning to one side</t>
  </si>
  <si>
    <t xml:space="preserve"> 2024-02-03T06:16:14Z</t>
  </si>
  <si>
    <t xml:space="preserve"> _00000000000000000000200000000</t>
  </si>
  <si>
    <t xml:space="preserve">small partial.  watch arm not moving much so not detected</t>
  </si>
  <si>
    <t xml:space="preserve"> 2024-02-25T07:23:39Z</t>
  </si>
  <si>
    <t xml:space="preserve"> _00000000000001222222121212210</t>
  </si>
  <si>
    <t xml:space="preserve"> _00000020200022222222020202200</t>
  </si>
  <si>
    <t xml:space="preserve">partial. sitting up   left arm flapping.  short one</t>
  </si>
  <si>
    <t xml:space="preserve"> 2024-02-25T08:15:46Z</t>
  </si>
  <si>
    <t xml:space="preserve"> _00000020222222222222222222222</t>
  </si>
  <si>
    <t xml:space="preserve">partial. sitting up   left arm flapping</t>
  </si>
  <si>
    <t xml:space="preserve"> 2024-03-06T06:45:48Z</t>
  </si>
  <si>
    <t xml:space="preserve"> _000000000000012221001221000</t>
  </si>
  <si>
    <t xml:space="preserve"> _000000000000222220022220000</t>
  </si>
  <si>
    <t xml:space="preserve">partial.  left arm flapping</t>
  </si>
  <si>
    <t xml:space="preserve"> 2024-03-24T06:09:29Z</t>
  </si>
  <si>
    <t xml:space="preserve"> _0000000000000001221212100000</t>
  </si>
  <si>
    <t xml:space="preserve"> _0000000000000022220202002000</t>
  </si>
  <si>
    <t xml:space="preserve">partial.  kneeling up, head turned to left, left arm flapping.</t>
  </si>
  <si>
    <t xml:space="preserve"> 2024-04-12T07:50:33Z</t>
  </si>
  <si>
    <t xml:space="preserve"> _00000000000000100000000122222</t>
  </si>
  <si>
    <t xml:space="preserve"> _00000000000002200020202222222</t>
  </si>
  <si>
    <t xml:space="preserve">Partial</t>
  </si>
  <si>
    <t xml:space="preserve"> 2024-05-07T05:54:06Z</t>
  </si>
  <si>
    <t xml:space="preserve"> _00000000122222222100000000000</t>
  </si>
  <si>
    <t xml:space="preserve"> _00000002222222222000020000000</t>
  </si>
  <si>
    <t xml:space="preserve">short TC.   rolled onto back</t>
  </si>
  <si>
    <t xml:space="preserve"> 2024-05-18T11:44:09Z</t>
  </si>
  <si>
    <t xml:space="preserve"> BLE2</t>
  </si>
  <si>
    <t xml:space="preserve"> _000000100000001222222222222221000000000000</t>
  </si>
  <si>
    <t xml:space="preserve"> _000002200000022222222222222220000000000000</t>
  </si>
  <si>
    <t xml:space="preserve">Partial, kneeling up, left arm flapping</t>
  </si>
  <si>
    <t xml:space="preserve"> 2024-05-18T11:46:22Z</t>
  </si>
  <si>
    <t xml:space="preserve"> _00000000000000000001000000000000000000000</t>
  </si>
  <si>
    <t xml:space="preserve"> _00000000000000000022000000000000000000000</t>
  </si>
  <si>
    <t xml:space="preserve">recovering from seizure</t>
  </si>
  <si>
    <t xml:space="preserve"> 2024-03-28T12:32:30Z</t>
  </si>
  <si>
    <t xml:space="preserve">high temp then energy drain</t>
  </si>
  <si>
    <t xml:space="preserve"> 2024-03-28T12:39:30Z</t>
  </si>
  <si>
    <t xml:space="preserve"> _000000000000000000122100000000</t>
  </si>
  <si>
    <t xml:space="preserve"> _002002000000000002222000000000</t>
  </si>
  <si>
    <t xml:space="preserve"> 2024-03-28T14:10:30Z</t>
  </si>
  <si>
    <t xml:space="preserve"> _000000000000000020000000000000</t>
  </si>
  <si>
    <t xml:space="preserve"> 2024-03-28T14:14:30Z</t>
  </si>
  <si>
    <t xml:space="preserve"> _000012210000000000000</t>
  </si>
  <si>
    <t xml:space="preserve"> _000222200202000000000</t>
  </si>
  <si>
    <t xml:space="preserve">after shock</t>
  </si>
  <si>
    <t xml:space="preserve"> 2024-03-28T14:46:30Z</t>
  </si>
  <si>
    <t xml:space="preserve"> _00000000000000000000</t>
  </si>
  <si>
    <t xml:space="preserve"> 2024-05-15T20:50:30Z</t>
  </si>
  <si>
    <t xml:space="preserve"> _000000000000000000000000000</t>
  </si>
  <si>
    <t xml:space="preserve"> 2024-05-16T19:15:30Z</t>
  </si>
  <si>
    <t xml:space="preserve"> 2024-05-16T19:28:30Z</t>
  </si>
  <si>
    <t xml:space="preserve"> _0000000000000</t>
  </si>
  <si>
    <t xml:space="preserve">weird feeling</t>
  </si>
  <si>
    <t xml:space="preserve"> 2023-12-31T23:38:53Z</t>
  </si>
  <si>
    <t xml:space="preserve"> 2024-01-17T11:06:04Z</t>
  </si>
  <si>
    <t xml:space="preserve"> _00001222222222222222222222222222222</t>
  </si>
  <si>
    <t xml:space="preserve"> _00022222222222222222222222222222222</t>
  </si>
  <si>
    <t xml:space="preserve"> 2024-01-17T14:09:03Z</t>
  </si>
  <si>
    <t xml:space="preserve"> _000000001221212100000000</t>
  </si>
  <si>
    <t xml:space="preserve"> _000200022220202000000020</t>
  </si>
  <si>
    <t xml:space="preserve"> 2024-01-18T13:25:31Z</t>
  </si>
  <si>
    <t xml:space="preserve"> _00001222222222212210000000000000000</t>
  </si>
  <si>
    <t xml:space="preserve"> _00022222222222202200000000000000000</t>
  </si>
  <si>
    <t xml:space="preserve"> 2024-01-23T13:46:30Z</t>
  </si>
  <si>
    <t xml:space="preserve"> _00000000122222100000000122222222222</t>
  </si>
  <si>
    <t xml:space="preserve"> _00000002222222000000002222222222222</t>
  </si>
  <si>
    <t xml:space="preserve"> 2024-02-04T04:00:04Z</t>
  </si>
  <si>
    <t xml:space="preserve"> _00000000000002000000020000000000000</t>
  </si>
  <si>
    <t xml:space="preserve"> 2024-02-09T01:11:16Z</t>
  </si>
  <si>
    <t xml:space="preserve"> _00000000000000122222221000000000000</t>
  </si>
  <si>
    <t xml:space="preserve"> _00000000000002222222220000000000000</t>
  </si>
  <si>
    <t xml:space="preserve"> 2024-03-12T06:03:58Z</t>
  </si>
  <si>
    <t xml:space="preserve"> _000000000000012222222100000000012222</t>
  </si>
  <si>
    <t xml:space="preserve"> _000000000020222222222000000020222222</t>
  </si>
  <si>
    <t xml:space="preserve"> 2024-03-23T07:02:22Z</t>
  </si>
  <si>
    <t xml:space="preserve"> _00000000000000001222222100000</t>
  </si>
  <si>
    <t xml:space="preserve"> _00000000000000022222222000000</t>
  </si>
  <si>
    <t xml:space="preserve"> 2024-05-18T08:57:58Z</t>
  </si>
  <si>
    <t xml:space="preserve"> _00000000001222222212221222222100000</t>
  </si>
  <si>
    <t xml:space="preserve"> _00000000022222222202220222222000000</t>
  </si>
  <si>
    <t xml:space="preserve"> 2023-12-05T02:42:30Z</t>
  </si>
  <si>
    <t xml:space="preserve"> _000000000000000000020002000000</t>
  </si>
  <si>
    <t xml:space="preserve">myoclonic seizure. dreaming about hitting a 6 in cricket. woke up. lasted 1 second and woke up fast.</t>
  </si>
  <si>
    <t xml:space="preserve"> 2024-05-19T19:32:39Z</t>
  </si>
  <si>
    <t xml:space="preserve"> _00000000000000000000000001221210012100010</t>
  </si>
  <si>
    <t xml:space="preserve"> _00000020000000000000000022220200222000220</t>
  </si>
  <si>
    <t xml:space="preserve">small partial.  looking to right.  no movement of watch arm</t>
  </si>
  <si>
    <t xml:space="preserve"> 2024-06-03T20:21:15Z</t>
  </si>
  <si>
    <t xml:space="preserve"> _00000000001222222222221000000000000000000</t>
  </si>
  <si>
    <t xml:space="preserve"> _00000000022222222222220000000000000200200</t>
  </si>
  <si>
    <t xml:space="preserve">partial.  rolled onto back.  leg moving but very little arm movement</t>
  </si>
  <si>
    <t xml:space="preserve"> 2024-06-10T03:29:44Z</t>
  </si>
  <si>
    <t xml:space="preserve"> _00000000122222222222222222100000000000000</t>
  </si>
  <si>
    <t xml:space="preserve"> _00002002222222222222222222000020000000000</t>
  </si>
  <si>
    <t xml:space="preserve">on front so arm moving horizontally.  did not alarm</t>
  </si>
  <si>
    <t xml:space="preserve"> 2024-05-30T16:26:30Z</t>
  </si>
  <si>
    <t xml:space="preserve"> _0000</t>
  </si>
  <si>
    <t xml:space="preserve">atonic</t>
  </si>
  <si>
    <t xml:space="preserve"> 2024-06-05T06:40:06Z</t>
  </si>
  <si>
    <t xml:space="preserve"> _000000000012222222222210000000000000</t>
  </si>
  <si>
    <t xml:space="preserve"> _000000000222222222222200000000000000</t>
  </si>
  <si>
    <t xml:space="preserve"> 2024-06-13T06:00:56Z</t>
  </si>
  <si>
    <t xml:space="preserve"> _000000000000000000000000000012100000121000</t>
  </si>
  <si>
    <t xml:space="preserve"> _000000000000000000000000020222000002220000</t>
  </si>
  <si>
    <t xml:space="preserve">small partial.  propped up in elbow, looking to right.  more like an absence really.</t>
  </si>
  <si>
    <t xml:space="preserve"> 2024-06-15T05:18:42Z</t>
  </si>
  <si>
    <t xml:space="preserve"> _00000000000000000012222222222100000000000</t>
  </si>
  <si>
    <t xml:space="preserve"> _00000000020000000222222222222000000000000</t>
  </si>
  <si>
    <t xml:space="preserve"> 2024-07-02T06:50:00Z</t>
  </si>
  <si>
    <t xml:space="preserve"> _00000000000100000012222222222210000000000</t>
  </si>
  <si>
    <t xml:space="preserve"> _00000000002202000222222222222200020000202</t>
  </si>
  <si>
    <t xml:space="preserve">partial.  kneeling up, head turned to left.  left arm flapping</t>
  </si>
  <si>
    <t xml:space="preserve"> 2024-06-28T03:36:25Z</t>
  </si>
  <si>
    <t xml:space="preserve"> _00000000012222222222100000000000000</t>
  </si>
  <si>
    <t xml:space="preserve"> _00000000222222222222000000000000000</t>
  </si>
  <si>
    <t xml:space="preserve"> 2024-07-01T20:19:34Z</t>
  </si>
  <si>
    <t xml:space="preserve"> _00000000000000122221000000000000000</t>
  </si>
  <si>
    <t xml:space="preserve"> _00000000000002222220000000000000000</t>
  </si>
  <si>
    <t xml:space="preserve">bulk type/subtype set</t>
  </si>
  <si>
    <t xml:space="preserve"> 2024-07-01T23:48:10Z</t>
  </si>
  <si>
    <t xml:space="preserve"> _00000000000000012222222221000000000</t>
  </si>
  <si>
    <t xml:space="preserve"> _00000000000000222222222220000000000</t>
  </si>
  <si>
    <t xml:space="preserve"> 2024-07-02T02:15:47Z</t>
  </si>
  <si>
    <t xml:space="preserve"> _00000000000001222210000000000000000</t>
  </si>
  <si>
    <t xml:space="preserve"> _00000000000022222200200200020000000</t>
  </si>
  <si>
    <t xml:space="preserve"> 2024-07-02T07:30:45Z</t>
  </si>
  <si>
    <t xml:space="preserve"> _00000000000000000012222212210000000</t>
  </si>
  <si>
    <t xml:space="preserve"> _00000000000000000222222202200000000</t>
  </si>
  <si>
    <t xml:space="preserve"> 2024-07-07T07:54:52Z</t>
  </si>
  <si>
    <t xml:space="preserve"> _00000000001212222212222222221210000000000</t>
  </si>
  <si>
    <t xml:space="preserve"> _00000000022202222202222222220200002000000</t>
  </si>
  <si>
    <t xml:space="preserve">Partial - left arm flapping</t>
  </si>
  <si>
    <t xml:space="preserve"> 2024-07-07T08:35:51Z</t>
  </si>
  <si>
    <t xml:space="preserve"> _00000000000010000000000122222221222222222</t>
  </si>
  <si>
    <t xml:space="preserve"> _00000000000220020000202222222220222222222</t>
  </si>
  <si>
    <t xml:space="preserve">partial, turning to right.  right arm flapping, not much movement of left (watch) arm</t>
  </si>
  <si>
    <t xml:space="preserve"> 2024-09-01T08:24:19Z</t>
  </si>
  <si>
    <t xml:space="preserve"> _00000000000001001222222222222222221000000</t>
  </si>
  <si>
    <t xml:space="preserve"> _00000000000022022222222222222222220000000</t>
  </si>
  <si>
    <t xml:space="preserve">seizure on waking.  lying on front.  left (watch) arm went stiff and rolled onto back.  left leg also shaking.  left arm and lef paralysed for a few minutes during recovery.</t>
  </si>
  <si>
    <t xml:space="preserve"> 2024-09-01T08:35:00Z</t>
  </si>
  <si>
    <t xml:space="preserve"> _000000000000000000001210000001210000000000</t>
  </si>
  <si>
    <t xml:space="preserve"> _000000000000000000022200000022200000002000</t>
  </si>
  <si>
    <t xml:space="preserve">recovering from tonic clonic.   a bit twitchy and paralysed on left (watch) side.</t>
  </si>
  <si>
    <t xml:space="preserve"> 2024-09-09T07:08:05Z</t>
  </si>
  <si>
    <t xml:space="preserve"> _000000000012212222222222222122100000</t>
  </si>
  <si>
    <t xml:space="preserve"> _000000000222202222222222222022000000</t>
  </si>
  <si>
    <t xml:space="preserve"> 2024-10-06T07:01:05Z</t>
  </si>
  <si>
    <t xml:space="preserve"> _00000000000010012222222222222222100000000</t>
  </si>
  <si>
    <t xml:space="preserve"> _00000000000220222222222222222222000000000</t>
  </si>
  <si>
    <t xml:space="preserve">Quite a big one.  started propped up on right arm, then rolled onto back</t>
  </si>
  <si>
    <t xml:space="preserve"> 2024-10-11T16:37:42Z</t>
  </si>
  <si>
    <t xml:space="preserve"> _00000000002200020222222222222200200020000</t>
  </si>
  <si>
    <t xml:space="preserve">partial - left arm flapping</t>
  </si>
  <si>
    <t xml:space="preserve"> 2024-10-22T06:15:12Z</t>
  </si>
  <si>
    <t xml:space="preserve"> _00000000010000122222222222221222221000000</t>
  </si>
  <si>
    <t xml:space="preserve"> _00000020220002222222222222220222220000000</t>
  </si>
  <si>
    <t xml:space="preserve">Partial.  started on front, rolled onto back.  recovered quickly.</t>
  </si>
  <si>
    <t xml:space="preserve"> 2024-10-23T19:07:30Z</t>
  </si>
  <si>
    <t xml:space="preserve"> _00000000122222221000122222222222210012222</t>
  </si>
  <si>
    <t xml:space="preserve"> _00000202222222220002222222222222200222222</t>
  </si>
  <si>
    <t xml:space="preserve">Started on right as flapping of arm but rolled onto back and left arm started to move</t>
  </si>
  <si>
    <t xml:space="preserve"> 2024-11-02T16:49:07Z</t>
  </si>
  <si>
    <t xml:space="preserve"> _00000000000000001222222222222222100000000</t>
  </si>
  <si>
    <t xml:space="preserve"> _00000000020002022222222222222222000000000</t>
  </si>
  <si>
    <t xml:space="preserve">Started on front then rolled onto back.   moved into recovery position when shaking stopped.</t>
  </si>
  <si>
    <t xml:space="preserve"> 2024-11-16T00:52:56Z</t>
  </si>
  <si>
    <t xml:space="preserve"> _00000200000000000000000000000000000</t>
  </si>
  <si>
    <t xml:space="preserve"> 2024-11-16T01:45:58Z</t>
  </si>
  <si>
    <t xml:space="preserve"> 2024-11-16T01:57:14Z</t>
  </si>
  <si>
    <t xml:space="preserve"> _00000000000000000100122222121221000</t>
  </si>
  <si>
    <t xml:space="preserve"> _00000000000000002202222222020220020</t>
  </si>
  <si>
    <t xml:space="preserve"> 2024-11-14T11:09:10Z</t>
  </si>
  <si>
    <t xml:space="preserve"> _00000000000000000000000000000000000000000</t>
  </si>
  <si>
    <t xml:space="preserve">before focal seizure.</t>
  </si>
  <si>
    <t xml:space="preserve"> 2025-01-09T06:02:48Z</t>
  </si>
  <si>
    <t xml:space="preserve"> _00000000000000000001222222221000000010000</t>
  </si>
  <si>
    <t xml:space="preserve"> _00020002000000000022222222220000000220000</t>
  </si>
  <si>
    <t xml:space="preserve">Small TC when waking.  Affected left side.  On front, hitting face with hand.  Recovered quickly.</t>
  </si>
  <si>
    <t xml:space="preserve"> 2025-01-21T06:41:18Z</t>
  </si>
  <si>
    <t xml:space="preserve"> _0000000000012222222222210001222212221001</t>
  </si>
  <si>
    <t xml:space="preserve"> _0000000000222222222222200022222202220022</t>
  </si>
  <si>
    <t xml:space="preserve">Small TC.  Rolled onto back.  Arm pushing watch into mattress.  Small, high frequency movements. Did not alarm.</t>
  </si>
  <si>
    <t xml:space="preserve"> 2025-02-01T05:08:01Z</t>
  </si>
  <si>
    <t xml:space="preserve"> _00000000010000122222222222222222222210010</t>
  </si>
  <si>
    <t xml:space="preserve"> _00000000220002222222222222222222222200220</t>
  </si>
  <si>
    <t xml:space="preserve">Rolled on to back.</t>
  </si>
  <si>
    <t xml:space="preserve"> 2025-02-01T05:09:07Z</t>
  </si>
  <si>
    <t xml:space="preserve"> _00012222222222222222210010012221221222100</t>
  </si>
  <si>
    <t xml:space="preserve"> _00222222222222222222200220222220220222000</t>
  </si>
  <si>
    <t xml:space="preserve"> 2025-02-08T06:24:11Z</t>
  </si>
  <si>
    <t xml:space="preserve"> _00000000001000100122222222222222221000000</t>
  </si>
  <si>
    <t xml:space="preserve"> _00000000022002202222222222222222220000000</t>
  </si>
  <si>
    <t xml:space="preserve">Rolled on to Back</t>
  </si>
  <si>
    <t xml:space="preserve"> 2025-02-19T04:26:00Z</t>
  </si>
  <si>
    <t xml:space="preserve"> _00000010000000012222222210000100000012210</t>
  </si>
  <si>
    <t xml:space="preserve"> _00000220000000222222222200002200200222200</t>
  </si>
  <si>
    <t xml:space="preserve">Partial, affected left hand side only.  rolled onto back</t>
  </si>
  <si>
    <t xml:space="preserve"> 2025-03-02T13:43:06Z</t>
  </si>
  <si>
    <t xml:space="preserve"> _00000010000000000122222222210000001000000</t>
  </si>
  <si>
    <t xml:space="preserve"> _00000220000002002222222222200200022000000</t>
  </si>
  <si>
    <t xml:space="preserve"> 2025-03-03T06:34:22Z</t>
  </si>
  <si>
    <t xml:space="preserve">focal</t>
  </si>
  <si>
    <t xml:space="preserve"> 2025-04-13T06:21:52Z</t>
  </si>
  <si>
    <t xml:space="preserve"> _000000000000000001222222222222210000</t>
  </si>
  <si>
    <t xml:space="preserve"> _000000000000000022222222222222200202</t>
  </si>
  <si>
    <t xml:space="preserve">rolled on to back</t>
  </si>
  <si>
    <t xml:space="preserve"> 2025-04-14T23:52:30Z</t>
  </si>
  <si>
    <t xml:space="preserve"> _00000000001000000000000000000000000</t>
  </si>
  <si>
    <t xml:space="preserve"> _00000000022002002000000000000000000</t>
  </si>
  <si>
    <t xml:space="preserve"> 2025-04-15T06:30:01Z</t>
  </si>
  <si>
    <t xml:space="preserve"> _00000000012222222210000012100000000</t>
  </si>
  <si>
    <t xml:space="preserve"> _00000000222222222200000222000000000</t>
  </si>
  <si>
    <t xml:space="preserve"> 2025-04-15T10:55:34Z</t>
  </si>
  <si>
    <t xml:space="preserve"> _0000000010000000000000</t>
  </si>
  <si>
    <t xml:space="preserve"> _0000000220000000000000</t>
  </si>
  <si>
    <t xml:space="preserve"> 2025-04-15T13:36:40Z</t>
  </si>
  <si>
    <t xml:space="preserve"> _00000000000000000001222222222100000</t>
  </si>
  <si>
    <t xml:space="preserve"> _00000000000000002022222222222000000</t>
  </si>
  <si>
    <t xml:space="preserve"> 2025-04-15T15:50:41Z</t>
  </si>
  <si>
    <t xml:space="preserve"> _00000001222222222210000000000000000</t>
  </si>
  <si>
    <t xml:space="preserve"> _00000022222222222200000000000000000</t>
  </si>
  <si>
    <t xml:space="preserve"> 2025-04-18T06:43:21Z</t>
  </si>
  <si>
    <t xml:space="preserve"> _000000000000122222222221000001221000</t>
  </si>
  <si>
    <t xml:space="preserve"> _000000000002222222222220020022220000</t>
  </si>
  <si>
    <t xml:space="preserve">left hand side.  recovered quickly</t>
  </si>
  <si>
    <t xml:space="preserve"> 2025-04-19T02:24:23Z</t>
  </si>
  <si>
    <t xml:space="preserve"> 2025-04-19T04:59:57Z</t>
  </si>
  <si>
    <t xml:space="preserve"> _00000000000000000100000000000000000</t>
  </si>
  <si>
    <t xml:space="preserve"> _00000000000000002200000000000000000</t>
  </si>
  <si>
    <t xml:space="preserve"> 2025-04-23T07:34:45Z</t>
  </si>
  <si>
    <t xml:space="preserve"> _000000000000000000122222222222222222</t>
  </si>
  <si>
    <t xml:space="preserve"> _000200000000020002222222222222222222</t>
  </si>
  <si>
    <t xml:space="preserve">small partial.  stuck getting out of bed</t>
  </si>
  <si>
    <t xml:space="preserve"> 2025-04-30T04:33:30Z</t>
  </si>
  <si>
    <t xml:space="preserve"> _000000000000000122222222222222100000</t>
  </si>
  <si>
    <t xml:space="preserve"> _000000000000002222222222222222000000</t>
  </si>
  <si>
    <t xml:space="preserve">rolled onto back.</t>
  </si>
  <si>
    <t xml:space="preserve"> 2025-04-30T04:36:04Z</t>
  </si>
  <si>
    <t xml:space="preserve"> _000000000001222222222121212222222221</t>
  </si>
  <si>
    <t xml:space="preserve"> _000000002022222222222020202222222220</t>
  </si>
  <si>
    <t xml:space="preserve"> 2025-05-07T06:07:33Z</t>
  </si>
  <si>
    <t xml:space="preserve"> _000000000000000001222222222221000000000</t>
  </si>
  <si>
    <t xml:space="preserve"> _000000000000000022222222222220000000000</t>
  </si>
  <si>
    <t xml:space="preserve">bulk type/subtype set bulk type/subtype set</t>
  </si>
  <si>
    <t xml:space="preserve"> 2025-05-19T04:09:02Z</t>
  </si>
  <si>
    <t xml:space="preserve"> _0000000001222222222222100000000000000000</t>
  </si>
  <si>
    <t xml:space="preserve"> _0000020022222222222222000020000000000000</t>
  </si>
  <si>
    <t xml:space="preserve">partial, kneeling up.  left arm flapping</t>
  </si>
  <si>
    <t xml:space="preserve"> 2025-05-12T06:33:06Z</t>
  </si>
  <si>
    <t xml:space="preserve"> _0000000000000001222222222222222222</t>
  </si>
  <si>
    <t xml:space="preserve"> _0000000000000022222222222222222222</t>
  </si>
  <si>
    <t xml:space="preserve"> 2025-05-23T07:30:49Z</t>
  </si>
  <si>
    <t xml:space="preserve"> _00000000000122221000000000122222222</t>
  </si>
  <si>
    <t xml:space="preserve"> _00002000002222220002000002222222222</t>
  </si>
  <si>
    <t xml:space="preserve"> 2025-06-18T06:28:37Z</t>
  </si>
  <si>
    <t xml:space="preserve"> _00000000012100012222222222222100122222222</t>
  </si>
  <si>
    <t xml:space="preserve"> _00000000222000222222222222222002222222222</t>
  </si>
  <si>
    <t xml:space="preserve">Rolled on to back</t>
  </si>
  <si>
    <t xml:space="preserve"> 2025-06-18T06:32:14Z</t>
  </si>
  <si>
    <t xml:space="preserve"> _00000000000000122122212100100000122212222</t>
  </si>
  <si>
    <t xml:space="preserve"> _00000000020002222022202002200202222202222</t>
  </si>
  <si>
    <t xml:space="preserve">recovering from tonic clonic</t>
  </si>
  <si>
    <t xml:space="preserve"> 2025-07-19T05:43:20Z</t>
  </si>
  <si>
    <t xml:space="preserve"> _00000000000001222222222221000000000000000</t>
  </si>
  <si>
    <t xml:space="preserve"> _00000020000022222222222220000000202000000</t>
  </si>
  <si>
    <t xml:space="preserve">small tonic-clonic.  left arm and both legs moving.   rolled onto back.</t>
  </si>
  <si>
    <t xml:space="preserve"> 2025-07-19T05:46:18Z</t>
  </si>
  <si>
    <t xml:space="preserve"> _00000000000000000001210012221212100010000</t>
  </si>
  <si>
    <t xml:space="preserve"> _00000000000000000022200222220202000220000</t>
  </si>
  <si>
    <t xml:space="preserve">recovering from small tonic-clonic.</t>
  </si>
  <si>
    <t xml:space="preserve"> 2025-07-18T06:30:11Z</t>
  </si>
  <si>
    <t xml:space="preserve"> _00000122221000000000000000000000000</t>
  </si>
  <si>
    <t xml:space="preserve"> _00002222220000000000000200000000000</t>
  </si>
  <si>
    <t xml:space="preserve"> 2025-07-30T02:53:44Z</t>
  </si>
  <si>
    <t xml:space="preserve"> _00000000000000000122222221000000000001221</t>
  </si>
  <si>
    <t xml:space="preserve"> _00000000000000002222222220000000002022220</t>
  </si>
  <si>
    <t xml:space="preserve">small one. not much movement</t>
  </si>
  <si>
    <t xml:space="preserve"> 2025-08-15T05:05:14Z</t>
  </si>
  <si>
    <t xml:space="preserve"> _00000000000000000000122222222222222100000</t>
  </si>
  <si>
    <t xml:space="preserve"> _00000000000020002002222222222222222000000</t>
  </si>
  <si>
    <t xml:space="preserve">Sat up, some flapping and slid onto back.  ATM pushing into pillow so not much movement after that.  warning but not alarm</t>
  </si>
  <si>
    <t xml:space="preserve"> 2025-08-15T08:16:27Z</t>
  </si>
  <si>
    <t xml:space="preserve"> _00000000000000000000000000122122222222222</t>
  </si>
  <si>
    <t xml:space="preserve"> _00000020000200000000000002222022222222222</t>
  </si>
  <si>
    <t xml:space="preserve">small partial.  turned to right.  right arm waved a few times.  no movement of left (watch) arm.</t>
  </si>
  <si>
    <t xml:space="preserve"> 2025-11-16T04:10:55Z</t>
  </si>
  <si>
    <t xml:space="preserve"> _000000000000000012100000000000000010</t>
  </si>
  <si>
    <t xml:space="preserve"> _000000000000020222000000000000000220</t>
  </si>
  <si>
    <t xml:space="preserve">at greenfields</t>
  </si>
  <si>
    <t xml:space="preserve"> 2025-11-16T04:12:19Z</t>
  </si>
  <si>
    <t xml:space="preserve"> _000000000000000000100000122100000122</t>
  </si>
  <si>
    <t xml:space="preserve"> _000000000000000002200002222002002222</t>
  </si>
  <si>
    <t xml:space="preserve"> 2025-11-16T04:33:19Z</t>
  </si>
  <si>
    <t xml:space="preserve"> _000000012222212221210000000000000000</t>
  </si>
  <si>
    <t xml:space="preserve"> _000000222222202220200000000000000000</t>
  </si>
  <si>
    <t xml:space="preserve"> 2025-11-16T08:16:33Z</t>
  </si>
  <si>
    <t xml:space="preserve"> _000000000000000100122222222222100000</t>
  </si>
  <si>
    <t xml:space="preserve"> _000000000002002202222222222222000000</t>
  </si>
  <si>
    <t xml:space="preserve"> 2025-11-16T08:18:42Z</t>
  </si>
  <si>
    <t xml:space="preserve"> _001210000000000001212100000000000000</t>
  </si>
  <si>
    <t xml:space="preserve"> _022200000000000022202000000000000000</t>
  </si>
  <si>
    <t xml:space="preserve"> 2025-11-16T08:24:06Z</t>
  </si>
  <si>
    <t xml:space="preserve"> _000000010001000122222221000000000010</t>
  </si>
  <si>
    <t xml:space="preserve"> _000000220022002222222220000000000220</t>
  </si>
  <si>
    <t xml:space="preserve"> 2025-08-25T06:54:20Z</t>
  </si>
  <si>
    <t xml:space="preserve"> _00000000000000001222222222222122100000122</t>
  </si>
  <si>
    <t xml:space="preserve"> _00000000002000022222222222222022000002222</t>
  </si>
  <si>
    <t xml:space="preserve">left side paralysed for a few minutes afterwards.</t>
  </si>
  <si>
    <t xml:space="preserve"> 2025-09-01T20:21:33Z</t>
  </si>
  <si>
    <t xml:space="preserve"> _00000000001222222210000000000000000</t>
  </si>
  <si>
    <t xml:space="preserve"> _00000000022222222200020200000000000</t>
  </si>
  <si>
    <t xml:space="preserve"> 2025-09-02T02:27:33Z</t>
  </si>
  <si>
    <t xml:space="preserve"> _00000000012222222221001210000000000</t>
  </si>
  <si>
    <t xml:space="preserve"> _00000000222222222220022200000000000</t>
  </si>
  <si>
    <t xml:space="preserve"> 2025-08-31T04:17:50Z</t>
  </si>
  <si>
    <t xml:space="preserve">no bruises inside my mouth, no body pain, just a little confused when woke up</t>
  </si>
  <si>
    <t xml:space="preserve"> 2025-09-03T03:20:56Z</t>
  </si>
  <si>
    <t xml:space="preserve"> _00000000010001221001222210000122212222221</t>
  </si>
  <si>
    <t xml:space="preserve"> _00000000220022220022222200002222202222220</t>
  </si>
  <si>
    <t xml:space="preserve">some sort of partial.  banged on wall.  left arm not working properly afterwards</t>
  </si>
  <si>
    <t xml:space="preserve"> 2025-09-02T20:50:22Z</t>
  </si>
  <si>
    <t xml:space="preserve"> _00000000000000000012210001222100000</t>
  </si>
  <si>
    <t xml:space="preserve"> _00000000000000000222200022222000000</t>
  </si>
  <si>
    <t xml:space="preserve"> 2025-09-13T06:59:18Z</t>
  </si>
  <si>
    <t xml:space="preserve"> _00000000000000000000122222222222222222222</t>
  </si>
  <si>
    <t xml:space="preserve"> _00000000002020000202222222222222222222222</t>
  </si>
  <si>
    <t xml:space="preserve">kneeling up with arm flapping then fell forwards</t>
  </si>
  <si>
    <t xml:space="preserve"> 2025-09-13T07:01:20Z</t>
  </si>
  <si>
    <t xml:space="preserve"> _00012222222222212222222212121221210000000</t>
  </si>
  <si>
    <t xml:space="preserve"> _00222222222222202222222202020220200000202</t>
  </si>
  <si>
    <t xml:space="preserve"> 2025-09-13T07:04:49Z</t>
  </si>
  <si>
    <t xml:space="preserve"> _00000000000000000000012122222222222221000</t>
  </si>
  <si>
    <t xml:space="preserve"> _00200000000000000020222022222222222220020</t>
  </si>
  <si>
    <t xml:space="preserve">recovering from 0701 tonic clonic.   Jerky movements.</t>
  </si>
  <si>
    <t xml:space="preserve"> 2025-09-21T07:42:32Z</t>
  </si>
  <si>
    <t xml:space="preserve"> _000000000000001222222222221000000000</t>
  </si>
  <si>
    <t xml:space="preserve"> _000000002000022222222222220000000000</t>
  </si>
  <si>
    <t xml:space="preserve"> 2025-10-03T23:52:34Z</t>
  </si>
  <si>
    <t xml:space="preserve"> _00000000000000000000001000000000000000000000000</t>
  </si>
  <si>
    <t xml:space="preserve"> _00000000000000000000022000000000000000000000000</t>
  </si>
  <si>
    <t xml:space="preserve"> 2025-12-28T07:03:29Z</t>
  </si>
  <si>
    <t xml:space="preserve"> _00000000012100122222222222221000121212222</t>
  </si>
  <si>
    <t xml:space="preserve"> _00000000222002222222222222220002220202222</t>
  </si>
  <si>
    <t xml:space="preserve">left hand side.</t>
  </si>
  <si>
    <t xml:space="preserve"> 2025-12-22T03:37:08Z</t>
  </si>
  <si>
    <t xml:space="preserve"> _00000000000000000000122222221000000</t>
  </si>
  <si>
    <t xml:space="preserve"> _00000000000000000002222222220000000</t>
  </si>
  <si>
    <t xml:space="preserve"> 2025-12-22T04:31:38Z</t>
  </si>
  <si>
    <t xml:space="preserve"> _00000000000122222210000000000000000</t>
  </si>
  <si>
    <t xml:space="preserve"> _00000000202222222200000000000000000</t>
  </si>
  <si>
    <t xml:space="preserve"> 2025-12-22T05:15:38Z</t>
  </si>
  <si>
    <t xml:space="preserve"> _00000000000001222221000000000000000</t>
  </si>
  <si>
    <t xml:space="preserve"> _00000000000022222220000000000000000</t>
  </si>
  <si>
    <t xml:space="preserve"> 2025-12-27T09:34:47Z</t>
  </si>
  <si>
    <t xml:space="preserve"> _0000000000012210000000000000001210</t>
  </si>
  <si>
    <t xml:space="preserve"> _0000000000222200002000000000022200</t>
  </si>
  <si>
    <t xml:space="preserve">iceberg</t>
  </si>
  <si>
    <t xml:space="preserve"> 2026-01-01T22:33:01Z</t>
  </si>
  <si>
    <t xml:space="preserve"> _00000000000000000000000000000000000000000000000</t>
  </si>
  <si>
    <t xml:space="preserve"> 2026-01-11T04:08:03Z</t>
  </si>
  <si>
    <t xml:space="preserve"> _00000000000000002200000200000000000</t>
  </si>
  <si>
    <t xml:space="preserve"> 2026-01-11T06:02:33Z</t>
  </si>
  <si>
    <t xml:space="preserve"> _00000000000000000100000000001000000</t>
  </si>
  <si>
    <t xml:space="preserve"> _00000000000000002200200000022000000</t>
  </si>
  <si>
    <t xml:space="preserve"> 2026-01-20T07:00:50Z</t>
  </si>
  <si>
    <t xml:space="preserve"> _00000000000121001222222222222222221210000</t>
  </si>
  <si>
    <t xml:space="preserve"> _00000000002220022222222222222222220200000</t>
  </si>
  <si>
    <t xml:space="preserve">rolled onto back.  recovered after about 30 mins.</t>
  </si>
  <si>
    <t xml:space="preserve"> 2026-01-17T10:29:06Z</t>
  </si>
  <si>
    <t xml:space="preserve"> _00000000000121222222222222222222222</t>
  </si>
  <si>
    <t xml:space="preserve"> _00000000002220222222222222222222222</t>
  </si>
  <si>
    <t xml:space="preserve"> 2026-01-17T10:30:41Z</t>
  </si>
  <si>
    <t xml:space="preserve"> _00012222222222222221000000000000000</t>
  </si>
  <si>
    <t xml:space="preserve"> _00222222222222222220000002000000000</t>
  </si>
  <si>
    <t xml:space="preserve"> 2026-01-17T10:38:06Z</t>
  </si>
  <si>
    <t xml:space="preserve"> _00000000000000000000000</t>
  </si>
  <si>
    <t xml:space="preserve"> _00000000000000020000000</t>
  </si>
  <si>
    <t xml:space="preserve"> 2026-01-17T11:22:46Z</t>
  </si>
  <si>
    <t xml:space="preserve"> _00000000122222210000000001222210000</t>
  </si>
  <si>
    <t xml:space="preserve"> _00000002222222200000000022222200020</t>
  </si>
  <si>
    <t xml:space="preserve"> 2026-01-17T11:30:56Z</t>
  </si>
  <si>
    <t xml:space="preserve"> _00000000002000002000000200000000000</t>
  </si>
  <si>
    <t xml:space="preserve"> 2026-01-29T01:30:23Z</t>
  </si>
  <si>
    <t xml:space="preserve"> _00000000000000000001222222100000001210000</t>
  </si>
  <si>
    <t xml:space="preserve"> _00000000000000000022222222000002022200202</t>
  </si>
  <si>
    <t xml:space="preserve"> 2026-01-29T06:21:12Z</t>
  </si>
  <si>
    <t xml:space="preserve"> _00000000000000012222222222222221000000121</t>
  </si>
  <si>
    <t xml:space="preserve"> _00000000000000222222222222222220000002220</t>
  </si>
  <si>
    <t xml:space="preserve"> 2026-02-19T06:33:23Z</t>
  </si>
  <si>
    <t xml:space="preserve"> _000000000000000122222121000000000000</t>
  </si>
  <si>
    <t xml:space="preserve"> _000000002000202222222020000000000000</t>
  </si>
  <si>
    <t xml:space="preserve"> 2026-02-14T01:47:22Z</t>
  </si>
  <si>
    <t xml:space="preserve"> _00000000000000000000000000000000020</t>
  </si>
  <si>
    <t xml:space="preserve"> 2026-02-14T22:33:17Z</t>
  </si>
  <si>
    <t xml:space="preserve"> _00000000000000000000122221000000000</t>
  </si>
  <si>
    <t xml:space="preserve"> _00000000000000000202222220000000000</t>
  </si>
  <si>
    <t xml:space="preserve">possible not sure</t>
  </si>
  <si>
    <t xml:space="preserve"> 2026-02-25T16:23:42Z</t>
  </si>
  <si>
    <t xml:space="preserve"> _00000000000000000000000001210000001</t>
  </si>
  <si>
    <t xml:space="preserve"> _00000020000000000000000022200000022</t>
  </si>
  <si>
    <t xml:space="preserve"> 2026-02-25T16:28:42Z</t>
  </si>
  <si>
    <t xml:space="preserve"> _0000000000000000000000000000000</t>
  </si>
  <si>
    <t xml:space="preserve"> 2026-03-18T06:31:38Z</t>
  </si>
  <si>
    <t xml:space="preserve"> _000000000000000000000000000000000000</t>
  </si>
  <si>
    <t xml:space="preserve"> _000000000000000002000000000000002000</t>
  </si>
  <si>
    <t xml:space="preserve">focal aware. on front tapping matress, tben around in circles a few times</t>
  </si>
  <si>
    <t xml:space="preserve"> 2026-04-03T15:10:58Z</t>
  </si>
  <si>
    <t xml:space="preserve"> _00000000000000000001222222222221000000000</t>
  </si>
  <si>
    <t xml:space="preserve"> _00000000000000000022222222222220000000000</t>
  </si>
  <si>
    <t xml:space="preserve">rolled onto back</t>
  </si>
  <si>
    <t xml:space="preserve"> 2026-04-03T15:12:42Z</t>
  </si>
  <si>
    <t xml:space="preserve"> _00122221000000000001221000000000000000000</t>
  </si>
  <si>
    <t xml:space="preserve"> _02222220000000000022220000000000200000200</t>
  </si>
  <si>
    <t xml:space="preserve"> 2026-03-25T00:32:02Z</t>
  </si>
  <si>
    <t xml:space="preserve"> 2026-04-15T02:08:52Z</t>
  </si>
  <si>
    <t xml:space="preserve"> _00000000000000000001222222100000000000000</t>
  </si>
  <si>
    <t xml:space="preserve"> _00000000000000000022222222000000000000000</t>
  </si>
  <si>
    <t xml:space="preserve">qguite small. on front</t>
  </si>
  <si>
    <t xml:space="preserve"> 2026-04-15T02:09:01Z</t>
  </si>
  <si>
    <t xml:space="preserve"> _00000000000000000122222210000000000000000</t>
  </si>
  <si>
    <t xml:space="preserve"> _00000000000000002222222200000000000000000</t>
  </si>
  <si>
    <t xml:space="preserve"> 2026-04-06T00:17:30Z</t>
  </si>
  <si>
    <t xml:space="preserve"> _000000000000000000000000000000000000000000000000</t>
  </si>
  <si>
    <t xml:space="preserve">created</t>
  </si>
  <si>
    <t xml:space="preserve"> 2026-04-12T04:40:12Z</t>
  </si>
  <si>
    <t xml:space="preserve"> _00000000000010000000000000000000000</t>
  </si>
  <si>
    <t xml:space="preserve"> _00000020000220000000000000000000000</t>
  </si>
  <si>
    <t xml:space="preserve">not sure about the heaviness of the seizure... but I'm being told that it was in mid dream... I started tensing and making noises and soon after the event I got up and went to the bathroom and I do remember doing that... so I'm not sure how heavy the seizure was</t>
  </si>
  <si>
    <t xml:space="preserve"> 2026-04-22T18:22:15Z</t>
  </si>
  <si>
    <t xml:space="preserve"> _00000000000000000001222222222222210000000</t>
  </si>
  <si>
    <t xml:space="preserve"> _00000000000000000022222222222222200020000</t>
  </si>
  <si>
    <t xml:space="preserve">rolled onto back.  left arm moving.  ml model alarmed ok</t>
  </si>
  <si>
    <t xml:space="preserve"> 2026-04-22T18:24:04Z</t>
  </si>
  <si>
    <t xml:space="preserve"> _00122222100000000000012222100000000000000</t>
  </si>
  <si>
    <t xml:space="preserve"> _02222222000200000020222222000000200000000</t>
  </si>
  <si>
    <t xml:space="preserve"> 2026-04-23T03:25:11Z</t>
  </si>
  <si>
    <t xml:space="preserve"> _00000000000000000000122222100000100000000</t>
  </si>
  <si>
    <t xml:space="preserve"> _00000000000000000002222222000002200000002</t>
  </si>
  <si>
    <t xml:space="preserve">lying on front.   right arm tapping bed</t>
  </si>
  <si>
    <t xml:space="preserve"> 2026-04-23T03:27:30Z</t>
  </si>
  <si>
    <t xml:space="preserve"> _00000000000000000000100000000000000000000</t>
  </si>
  <si>
    <t xml:space="preserve"> _00000000200000000002200000000000000000000</t>
  </si>
  <si>
    <t xml:space="preserve"> 2026-05-12T07:10:57Z</t>
  </si>
  <si>
    <t xml:space="preserve"> _00000000000000001221000000000000000</t>
  </si>
  <si>
    <t xml:space="preserve"> _00020000000000022220000000000000000</t>
  </si>
  <si>
    <t xml:space="preserve">Small focal.  Sat up, head turned to right.  Bit of flapping of right arm, but very little movement of left (watch) arm.   Manual alarm, then stood up a bit shaky giving auto. Alarm</t>
  </si>
  <si>
    <t xml:space="preserve"> 2026-05-13T01:26:08Z</t>
  </si>
  <si>
    <t xml:space="preserve"> _00000000000000001222222222222121000</t>
  </si>
  <si>
    <t xml:space="preserve"> _00000000000000022222222222222020000</t>
  </si>
  <si>
    <t xml:space="preserve"> 2026-05-13T01:27:03Z</t>
  </si>
  <si>
    <t xml:space="preserve"> _00001222222222222212100000000100100</t>
  </si>
  <si>
    <t xml:space="preserve"> _00022222222222222202000000202202200</t>
  </si>
  <si>
    <t xml:space="preserve"> 2026-05-12T04:03:14Z</t>
  </si>
  <si>
    <t xml:space="preserve"> 2026-05-21T06:30:53Z</t>
  </si>
  <si>
    <t xml:space="preserve"> _00000000000000001222222210000000000</t>
  </si>
  <si>
    <t xml:space="preserve"> _00000000000000022222222200000200000</t>
  </si>
  <si>
    <t xml:space="preserve"> 2026-05-15T04:29:33Z</t>
  </si>
  <si>
    <t xml:space="preserve"> _00000000000000000200000000000000000</t>
  </si>
  <si>
    <t xml:space="preserve"> 2026-05-15T04:30:08Z</t>
  </si>
  <si>
    <t xml:space="preserve"> _00000000002000000000000000000000000</t>
  </si>
  <si>
    <t xml:space="preserve"> 2026-05-31T04:07:25Z</t>
  </si>
  <si>
    <t xml:space="preserve"> _00000000000000000001222222210000000000000</t>
  </si>
  <si>
    <t xml:space="preserve"> _00000000000000000022222222200000000000000</t>
  </si>
  <si>
    <t xml:space="preserve">quite a short one.  recovered quickly</t>
  </si>
  <si>
    <t xml:space="preserve"> 2026-06-07T06:59:24Z</t>
  </si>
  <si>
    <t xml:space="preserve"> _00000000000000000000100000000000121000000</t>
  </si>
  <si>
    <t xml:space="preserve"> _00000000000000000202200000000002220000000</t>
  </si>
  <si>
    <t xml:space="preserve">small focal - on front, right hand tapping bed gave a warning.  Alarm was when he sat up recovering.</t>
  </si>
  <si>
    <t xml:space="preserve"> 2026-06-07T07:00:20Z</t>
  </si>
  <si>
    <t xml:space="preserve"> _00000001000000000001210000000000000000000</t>
  </si>
  <si>
    <t xml:space="preserve"> _00000022000000000022200000000000000000020</t>
  </si>
  <si>
    <t xml:space="preserve"> 2026-06-03T17:40:00Z</t>
  </si>
  <si>
    <t xml:space="preserve"> _000000000000000012222100000000000000</t>
  </si>
  <si>
    <t xml:space="preserve"> _000000000000000222222000000000000000</t>
  </si>
  <si>
    <t xml:space="preserve"> 2026-06-04T04:33:10Z</t>
  </si>
  <si>
    <t xml:space="preserve"> _000000000000000001212222222222210000</t>
  </si>
  <si>
    <t xml:space="preserve"> _000000000000000022202222222222200200</t>
  </si>
  <si>
    <t xml:space="preserve"> 2026-06-04T06:58:40Z</t>
  </si>
  <si>
    <t xml:space="preserve"> _00000000000000001222212222221000000</t>
  </si>
  <si>
    <t xml:space="preserve"> _00000000000000022222202222220000000</t>
  </si>
  <si>
    <t xml:space="preserve"> 2026-06-04T08:07:40Z</t>
  </si>
  <si>
    <t xml:space="preserve"> _00000000000000000012222100000000000</t>
  </si>
  <si>
    <t xml:space="preserve"> _00000000000000020222222000000000000</t>
  </si>
  <si>
    <t xml:space="preserve"> 2026-06-11T05:31:35Z</t>
  </si>
  <si>
    <t xml:space="preserve"> _00000000000000000001222222222222222100012</t>
  </si>
  <si>
    <t xml:space="preserve"> _00000000000000000022222222222222222000222</t>
  </si>
  <si>
    <t xml:space="preserve"> 2026-06-11T05:33:02Z</t>
  </si>
  <si>
    <t xml:space="preserve"> _00122222222222210001210000000010000000000</t>
  </si>
  <si>
    <t xml:space="preserve"> _02222222222222200022200002020220202020000</t>
  </si>
  <si>
    <t xml:space="preserve"> 2026-06-11T05:37:45Z</t>
  </si>
  <si>
    <t xml:space="preserve"> _00000001000000001001210000000000000000000</t>
  </si>
  <si>
    <t xml:space="preserve"> _00002022000002022022200000000000000000000</t>
  </si>
  <si>
    <t xml:space="preserve">Jerrky during recovery from TC</t>
  </si>
  <si>
    <t xml:space="preserve"> 2026-06-14T06:01:49Z</t>
  </si>
  <si>
    <t xml:space="preserve"> _00000000000000000001221000000000000000000</t>
  </si>
  <si>
    <t xml:space="preserve"> _00000000000000000022220000000000000000000</t>
  </si>
  <si>
    <t xml:space="preserve">focal / parrial.  stood up, turned in circles a few times 0630 to 0645,, slid down wall into corner of room</t>
  </si>
  <si>
    <t xml:space="preserve"> 2026-06-14T06:04:30Z</t>
  </si>
  <si>
    <t xml:space="preserve"> _00000000000010000001221000000000000000000</t>
  </si>
  <si>
    <t xml:space="preserve"> _00000000000220000022220000000000002000000</t>
  </si>
  <si>
    <t xml:space="preserve"> 2026-06-18T01:45:21Z</t>
  </si>
  <si>
    <t xml:space="preserve">Woke up and then started having seizure</t>
  </si>
  <si>
    <t xml:space="preserve"> 2026-06-18T01:50:01Z</t>
  </si>
  <si>
    <t xml:space="preserve">Seizure continued from 01.45?</t>
  </si>
  <si>
    <t xml:space="preserve"> 2026-06-18T01:52:21Z</t>
  </si>
  <si>
    <t xml:space="preserve"> 2026-06-18T01:54:01Z</t>
  </si>
  <si>
    <t xml:space="preserve"> 2026-06-18T03:30:06Z</t>
  </si>
  <si>
    <t xml:space="preserve">Non-epileptic seizure</t>
  </si>
  <si>
    <t xml:space="preserve"> 2026-06-18T04:34:11Z</t>
  </si>
  <si>
    <t xml:space="preserve"> 2026-06-18T15:48:38Z</t>
  </si>
  <si>
    <t xml:space="preserve">Twitching to body, feet and hands when waking up after afternoon nap. It did not continue into a full Tonic/Clonic seizure</t>
  </si>
  <si>
    <t xml:space="preserve"> 2026-06-16T07:05:24Z</t>
  </si>
  <si>
    <t xml:space="preserve"> _00000000000000020022222222222222200000002</t>
  </si>
  <si>
    <t xml:space="preserve"> 2026-06-16T07:06:03Z</t>
  </si>
  <si>
    <t xml:space="preserve"> _00000000001222222222222210000000000000000</t>
  </si>
  <si>
    <t xml:space="preserve"> _00000020022222222222222200000002000000200</t>
  </si>
  <si>
    <t xml:space="preserve"> 2026-06-22T00:54:46Z</t>
  </si>
  <si>
    <t xml:space="preserve"> _00000000000000000001222222100100000001000</t>
  </si>
  <si>
    <t xml:space="preserve"> _00000000000000000022222222002202000022000</t>
  </si>
  <si>
    <t xml:space="preserve">rolled onto to back</t>
  </si>
  <si>
    <t xml:space="preserve"> 2026-06-22T00:57:01Z</t>
  </si>
  <si>
    <t xml:space="preserve"> _00000010000000100012212210000000000000000</t>
  </si>
  <si>
    <t xml:space="preserve"> _00000220000002200222202200000000000000002</t>
  </si>
  <si>
    <t xml:space="preserve"> 2026-06-19T05:30:15Z</t>
  </si>
  <si>
    <t xml:space="preserve"> _00000000000000000000121000000000000</t>
  </si>
  <si>
    <t xml:space="preserve"> _00000000000000000002220000000000000</t>
  </si>
  <si>
    <t xml:space="preserve"> 2026-06-20T03:25:55Z</t>
  </si>
  <si>
    <t xml:space="preserve"> _00000000000000000012221000000000000</t>
  </si>
  <si>
    <t xml:space="preserve"> _00000000000000000222220000000000000</t>
  </si>
  <si>
    <t xml:space="preserve"> 2026-06-19T00:07:37Z</t>
  </si>
  <si>
    <t xml:space="preserve"> 2026-06-19T03:53:41Z</t>
  </si>
  <si>
    <t xml:space="preserve">Woke up to twitching and seizure commented</t>
  </si>
  <si>
    <t xml:space="preserve"> 2026-06-19T03:57:31Z</t>
  </si>
  <si>
    <t xml:space="preserve">? Same seizure from 03.53am</t>
  </si>
  <si>
    <t xml:space="preserve"> 2026-06-19T05:35:26Z</t>
  </si>
  <si>
    <t xml:space="preserve"> 2026-06-19T05:38:07Z</t>
  </si>
  <si>
    <t xml:space="preserve"> _00000000000000000000000001222210000</t>
  </si>
  <si>
    <t xml:space="preserve"> _00000000000000000000000022222200000</t>
  </si>
  <si>
    <t xml:space="preserve"> 2026-06-19T05:39:02Z</t>
  </si>
  <si>
    <t xml:space="preserve"> _000000000000001222210000012100000000</t>
  </si>
  <si>
    <t xml:space="preserve"> _000000000000022222200000222000000000</t>
  </si>
  <si>
    <t xml:space="preserve"> 2026-06-19T06:31:47Z</t>
  </si>
  <si>
    <t xml:space="preserve">Twitching</t>
  </si>
  <si>
    <t xml:space="preserve"> 2026-06-20T01:15:06Z</t>
  </si>
  <si>
    <t xml:space="preserve"> _0000000012100000000000000</t>
  </si>
  <si>
    <t xml:space="preserve"> _0000000222000000000000000</t>
  </si>
  <si>
    <t xml:space="preserve">? Seizure  - sleeping</t>
  </si>
  <si>
    <t xml:space="preserve"> 2026-06-20T01:33:06Z</t>
  </si>
  <si>
    <t xml:space="preserve"> 2026-06-20T05:21:16Z</t>
  </si>
  <si>
    <t xml:space="preserve">? Seizure - sleeping</t>
  </si>
  <si>
    <t xml:space="preserve"> 2026-06-20T06:08:46Z</t>
  </si>
  <si>
    <t xml:space="preserve">Woke to twitching of fingers and hands. No seizure as such</t>
  </si>
  <si>
    <t xml:space="preserve"> 2026-06-21T00:23:12Z</t>
  </si>
  <si>
    <t xml:space="preserve">? seizure during sleep</t>
  </si>
  <si>
    <t xml:space="preserve"> 2026-06-21T03:56:22Z</t>
  </si>
  <si>
    <t xml:space="preserve">Tonic/clonic seizure witnessed by husband</t>
  </si>
  <si>
    <t xml:space="preserve"> 2026-06-23T19:46:19Z</t>
  </si>
  <si>
    <t xml:space="preserve"> _000000000000000001000000000000000000</t>
  </si>
  <si>
    <t xml:space="preserve"> _000000000000000022000000000000000000</t>
  </si>
  <si>
    <t xml:space="preserve"> 2026-06-23T01:16:26Z</t>
  </si>
  <si>
    <t xml:space="preserve">Tonic Clonic seizure during the night. Woken prior to seizure. No incontinence. Partially aware during the seizure. Pain to the left forehead and left side of the head post seizure</t>
  </si>
  <si>
    <t xml:space="preserve"> 2026-06-23T02:10:30Z</t>
  </si>
  <si>
    <t xml:space="preserve"> 2026-06-23T03:25:30Z</t>
  </si>
  <si>
    <t xml:space="preserve"> 2026-06-23T03:33:30Z</t>
  </si>
  <si>
    <t xml:space="preserve"> _000</t>
  </si>
  <si>
    <t xml:space="preserve"> 2026-06-23T05:23:30Z</t>
  </si>
  <si>
    <t xml:space="preserve"> _</t>
  </si>
  <si>
    <t xml:space="preserve"> 2026-06-24T01:07:31Z</t>
  </si>
  <si>
    <t xml:space="preserve">Woke as the seizure started. Both Tonic and clonic episodes</t>
  </si>
  <si>
    <t xml:space="preserve"> 2026-06-24T02:05:56Z</t>
  </si>
  <si>
    <t xml:space="preserve"> 2026-06-24T02:06:16Z</t>
  </si>
  <si>
    <t xml:space="preserve"> 2026-06-24T03:33:51Z</t>
  </si>
  <si>
    <t xml:space="preserve"> 2026-06-24T03:42:50Z</t>
  </si>
  <si>
    <t xml:space="preserve"> _00000000000000000000200000000000000</t>
  </si>
  <si>
    <t xml:space="preserve">Woke as the seizure started. Both Tonic and clonic episodes continued as per last post</t>
  </si>
  <si>
    <t xml:space="preserve"> 2026-06-24T03:45:25Z</t>
  </si>
  <si>
    <t xml:space="preserve"> _00000000000000000000012222100000000</t>
  </si>
  <si>
    <t xml:space="preserve"> _00000000000000000000222222000000000</t>
  </si>
  <si>
    <t xml:space="preserve">continued from last post</t>
  </si>
  <si>
    <t xml:space="preserve">#Total</t>
  </si>
  <si>
    <t xml:space="preserve">#Correct Count</t>
  </si>
  <si>
    <t xml:space="preserve">#Correct Prop</t>
  </si>
  <si>
    <t xml:space="preserve">#TonicClonic Total</t>
  </si>
  <si>
    <t xml:space="preserve">#TonicClonic Correct Count</t>
  </si>
  <si>
    <t xml:space="preserve">#TonicClonic Correct Prop</t>
  </si>
  <si>
    <t xml:space="preserve">Remove</t>
  </si>
  <si>
    <t xml:space="preserve">Remove Reason</t>
  </si>
  <si>
    <t xml:space="preserve">good data</t>
  </si>
  <si>
    <t xml:space="preserve">Duplicate of 1240082</t>
  </si>
  <si>
    <t xml:space="preserve">good data – why did this not alarm?</t>
  </si>
  <si>
    <t xml:space="preserve">good data, but is it a TC? – recovering from 13285040</t>
  </si>
  <si>
    <t xml:space="preserve">good data, but is it a TC?</t>
  </si>
  <si>
    <t xml:space="preserve">good data – short seizure</t>
  </si>
  <si>
    <t xml:space="preserve">extremely short – is it real?</t>
  </si>
  <si>
    <t xml:space="preserve">bad data – incorrect time reported?</t>
  </si>
  <si>
    <t xml:space="preserve">little data</t>
  </si>
  <si>
    <t xml:space="preserve">no data</t>
  </si>
  <si>
    <t xml:space="preserve">duplicate of 1337576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</si>
</sst>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773280</xdr:colOff>
      <xdr:row>101</xdr:row>
      <xdr:rowOff>18720</xdr:rowOff>
    </xdr:from>
    <xdr:to>
      <xdr:col>13</xdr:col>
      <xdr:colOff>812880</xdr:colOff>
      <xdr:row>124</xdr:row>
      <xdr:rowOff>155160</xdr:rowOff>
    </xdr:to>
    <xdr:sp>
      <xdr:nvSpPr>
        <xdr:cNvPr id="0" name="Text Frame 1"/>
        <xdr:cNvSpPr txBox="1"/>
      </xdr:nvSpPr>
      <xdr:spPr>
        <a:xfrm>
          <a:off x="773280" y="16437240"/>
          <a:ext cx="10605960" cy="3875400"/>
        </a:xfrm>
        <a:prstGeom prst="rect">
          <a:avLst/>
        </a:prstGeom>
        <a:noFill/>
        <a:ln w="0">
          <a:noFill/>
        </a:ln>
      </xdr:spPr>
      <xdr:txBody>
        <a:bodyPr lIns="0" rIns="0" tIns="0" bIns="0" anchor="t">
          <a:noAutofit/>
        </a:bodyPr>
        <a:p>
          <a:r>
            <a:rPr b="0" lang="en-GB" sz="1200" spc="-1" strike="noStrike">
              <a:latin typeface="Times New Roman"/>
            </a:rPr>
            <a:t>Tidying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1 – removed entries with bad data (ie no discernable change in movement or heart rate at reported time, or very few datapoints).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2 – removed duplicates where times are very close together so are essentially analysing the same data twice.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3 – Filtered only for events with id &gt;900000, which corresponds to after the release of V1.10 of OSDB, so none of these events have been used in the training of the run24 </a:t>
          </a:r>
          <a:r>
            <a:rPr b="0" lang="en-GB" sz="1200" spc="-1" strike="noStrike">
              <a:latin typeface="Times New Roman"/>
            </a:rPr>
            <a:t>model.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4 – this gave a surprisingly poor resoult (56% for all seizues, and 58% for tonic-clonic).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5 – the reason for the poor result was a lot of very recent data contributed by a single user (#1643).   These seizures appear to be unusual – often very short and do not have </a:t>
          </a:r>
          <a:r>
            <a:rPr b="0" lang="en-GB" sz="1200" spc="-1" strike="noStrike">
              <a:latin typeface="Times New Roman"/>
            </a:rPr>
            <a:t>the usual shape of a TC seizure, but they do have a strong heart rate response so they are something interesting – removed this user from the dataset pending further </a:t>
          </a:r>
          <a:r>
            <a:rPr b="0" lang="en-GB" sz="1200" spc="-1" strike="noStrike">
              <a:latin typeface="Times New Roman"/>
            </a:rPr>
            <a:t>investigation.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6 – After removing user #1643, we have 30 seizures contributed by 5 users, with 83% TPR.</a:t>
          </a:r>
          <a:br/>
          <a:r>
            <a:rPr b="0" lang="en-GB" sz="1200" spc="-1" strike="noStrike">
              <a:latin typeface="Times New Roman"/>
            </a:rPr>
            <a:t>7 – by user results are: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   </a:t>
          </a:r>
          <a:r>
            <a:rPr b="0" lang="en-GB" sz="1200" spc="-1" strike="noStrike">
              <a:latin typeface="Times New Roman"/>
            </a:rPr>
            <a:t>User 39:  19 out of 20 correct (95% TPR).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   </a:t>
          </a:r>
          <a:r>
            <a:rPr b="0" lang="en-GB" sz="1200" spc="-1" strike="noStrike">
              <a:latin typeface="Times New Roman"/>
            </a:rPr>
            <a:t>User 733: 4 out of 4 correct (100% TPR)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   </a:t>
          </a:r>
          <a:r>
            <a:rPr b="0" lang="en-GB" sz="1200" spc="-1" strike="noStrike">
              <a:latin typeface="Times New Roman"/>
            </a:rPr>
            <a:t>User 1246: 2 out of 4 correct (50% TPR)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   </a:t>
          </a:r>
          <a:r>
            <a:rPr b="0" lang="en-GB" sz="1200" spc="-1" strike="noStrike">
              <a:latin typeface="Times New Roman"/>
            </a:rPr>
            <a:t>User 1422: 0 out of 1 corect (0% TPR).  Generated a warning, user note says not sure how strong the seizure was, so maybe not a TC?  Very subtle movement, but big HR </a:t>
          </a:r>
          <a:r>
            <a:rPr b="0" lang="en-GB" sz="1200" spc="-1" strike="noStrike">
              <a:latin typeface="Times New Roman"/>
            </a:rPr>
            <a:t>response though</a:t>
          </a:r>
          <a:endParaRPr b="0" lang="en-GB" sz="1200" spc="-1" strike="noStrike">
            <a:latin typeface="Times New Roman"/>
          </a:endParaRPr>
        </a:p>
        <a:p>
          <a:r>
            <a:rPr b="0" lang="en-GB" sz="1200" spc="-1" strike="noStrike">
              <a:latin typeface="Times New Roman"/>
            </a:rPr>
            <a:t>   </a:t>
          </a:r>
          <a:r>
            <a:rPr b="0" lang="en-GB" sz="1200" spc="-1" strike="noStrike">
              <a:latin typeface="Times New Roman"/>
            </a:rPr>
            <a:t>User 1640: 0 out of 1 correct (0% TPR).  Generated a warning.  Lot of movement and big HR response, so surprised ML model did not generate alarm.</a:t>
          </a:r>
          <a:endParaRPr b="0" lang="en-GB" sz="1200" spc="-1" strike="noStrike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45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69"/>
    <col collapsed="false" customWidth="true" hidden="false" outlineLevel="0" max="2" min="2" style="0" width="20.22"/>
    <col collapsed="false" customWidth="true" hidden="false" outlineLevel="0" max="3" min="3" style="0" width="8.24"/>
    <col collapsed="false" customWidth="true" hidden="false" outlineLevel="0" max="4" min="4" style="0" width="12.15"/>
    <col collapsed="false" customWidth="true" hidden="false" outlineLevel="0" max="5" min="5" style="0" width="7.14"/>
    <col collapsed="false" customWidth="true" hidden="false" outlineLevel="0" max="6" min="6" style="0" width="11.03"/>
    <col collapsed="false" customWidth="true" hidden="false" outlineLevel="0" max="7" min="7" style="0" width="7.55"/>
    <col collapsed="false" customWidth="true" hidden="false" outlineLevel="0" max="9" min="8" style="0" width="14.09"/>
    <col collapsed="false" customWidth="true" hidden="false" outlineLevel="0" max="11" min="10" style="0" width="8.67"/>
    <col collapsed="false" customWidth="true" hidden="false" outlineLevel="0" max="12" min="12" style="0" width="14.33"/>
    <col collapsed="false" customWidth="true" hidden="false" outlineLevel="0" max="14" min="13" style="0" width="49.85"/>
    <col collapsed="false" customWidth="true" hidden="false" outlineLevel="0" max="15" min="15" style="0" width="212.05"/>
  </cols>
  <sheetData>
    <row r="1" customFormat="false" ht="12.8" hidden="false" customHeight="false" outlineLevel="0" collapsed="false">
      <c r="H1" s="0" t="s">
        <v>0</v>
      </c>
      <c r="J1" s="0" t="s">
        <v>1</v>
      </c>
      <c r="L1" s="0" t="s">
        <v>2</v>
      </c>
    </row>
    <row r="2" customFormat="false" ht="12.8" hidden="false" customHeight="false" outlineLevel="0" collapsed="false">
      <c r="G2" s="0" t="s">
        <v>3</v>
      </c>
      <c r="H2" s="0" t="n">
        <f aca="false">SUBTOTAL(109,H$7:H$339)</f>
        <v>237</v>
      </c>
      <c r="J2" s="0" t="n">
        <f aca="false">SUBTOTAL(109,J$7:J$339)</f>
        <v>273</v>
      </c>
      <c r="L2" s="0" t="n">
        <f aca="false">SUBTOTAL(109,L$7:L$339)</f>
        <v>233</v>
      </c>
    </row>
    <row r="3" customFormat="false" ht="12.8" hidden="false" customHeight="false" outlineLevel="0" collapsed="false">
      <c r="G3" s="0" t="s">
        <v>4</v>
      </c>
      <c r="H3" s="0" t="n">
        <f aca="false">SUBTOTAL(103,H$7:H$339)</f>
        <v>333</v>
      </c>
      <c r="J3" s="0" t="n">
        <f aca="false">SUBTOTAL(103,J$7:J$339)</f>
        <v>333</v>
      </c>
      <c r="L3" s="0" t="n">
        <f aca="false">SUBTOTAL(103,L$7:L$339)</f>
        <v>333</v>
      </c>
    </row>
    <row r="4" customFormat="false" ht="12.8" hidden="false" customHeight="false" outlineLevel="0" collapsed="false">
      <c r="G4" s="0" t="s">
        <v>5</v>
      </c>
      <c r="H4" s="1" t="n">
        <f aca="false">H2/H3</f>
        <v>0.711711711711712</v>
      </c>
      <c r="J4" s="1" t="n">
        <f aca="false">J2/J3</f>
        <v>0.81981981981982</v>
      </c>
      <c r="L4" s="1" t="n">
        <f aca="false">L2/L3</f>
        <v>0.6996996996997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8</v>
      </c>
      <c r="D6" s="0" t="s">
        <v>9</v>
      </c>
      <c r="E6" s="0" t="s">
        <v>10</v>
      </c>
      <c r="F6" s="0" t="s">
        <v>11</v>
      </c>
      <c r="G6" s="0" t="s">
        <v>12</v>
      </c>
      <c r="I6" s="0" t="s">
        <v>13</v>
      </c>
      <c r="K6" s="0" t="s">
        <v>14</v>
      </c>
      <c r="M6" s="0" t="s">
        <v>12</v>
      </c>
      <c r="N6" s="0" t="s">
        <v>13</v>
      </c>
      <c r="O6" s="0" t="s">
        <v>15</v>
      </c>
    </row>
    <row r="7" customFormat="false" ht="12.8" hidden="false" customHeight="false" outlineLevel="0" collapsed="false">
      <c r="A7" s="0" t="n">
        <v>407</v>
      </c>
      <c r="B7" s="0" t="s">
        <v>16</v>
      </c>
      <c r="C7" s="0" t="s">
        <v>17</v>
      </c>
      <c r="D7" s="0" t="s">
        <v>18</v>
      </c>
      <c r="E7" s="0" t="n">
        <v>39</v>
      </c>
      <c r="F7" s="0" t="s">
        <v>19</v>
      </c>
      <c r="G7" s="0" t="s">
        <v>20</v>
      </c>
      <c r="H7" s="0" t="n">
        <f aca="false">IF(G7=" ALARM",1,0)</f>
        <v>1</v>
      </c>
      <c r="I7" s="0" t="s">
        <v>20</v>
      </c>
      <c r="J7" s="0" t="n">
        <f aca="false">IF(I7=" ALARM",1,0)</f>
        <v>1</v>
      </c>
      <c r="K7" s="0" t="s">
        <v>21</v>
      </c>
      <c r="L7" s="0" t="n">
        <f aca="false">IF(K7=" ALARM",1,0)</f>
        <v>0</v>
      </c>
      <c r="M7" s="0" t="s">
        <v>22</v>
      </c>
      <c r="N7" s="0" t="s">
        <v>23</v>
      </c>
      <c r="O7" s="0" t="s">
        <v>24</v>
      </c>
    </row>
    <row r="8" customFormat="false" ht="12.8" hidden="false" customHeight="false" outlineLevel="0" collapsed="false">
      <c r="A8" s="0" t="n">
        <v>764</v>
      </c>
      <c r="B8" s="0" t="s">
        <v>25</v>
      </c>
      <c r="C8" s="0" t="s">
        <v>17</v>
      </c>
      <c r="D8" s="0" t="s">
        <v>18</v>
      </c>
      <c r="E8" s="0" t="n">
        <v>39</v>
      </c>
      <c r="F8" s="0" t="s">
        <v>19</v>
      </c>
      <c r="G8" s="0" t="s">
        <v>20</v>
      </c>
      <c r="H8" s="0" t="n">
        <f aca="false">IF(G8=" ALARM",1,0)</f>
        <v>1</v>
      </c>
      <c r="I8" s="0" t="s">
        <v>20</v>
      </c>
      <c r="J8" s="0" t="n">
        <f aca="false">IF(I8=" ALARM",1,0)</f>
        <v>1</v>
      </c>
      <c r="K8" s="0" t="s">
        <v>20</v>
      </c>
      <c r="L8" s="0" t="n">
        <f aca="false">IF(K8=" ALARM",1,0)</f>
        <v>1</v>
      </c>
      <c r="M8" s="0" t="s">
        <v>26</v>
      </c>
      <c r="N8" s="0" t="s">
        <v>27</v>
      </c>
      <c r="O8" s="0" t="s">
        <v>28</v>
      </c>
    </row>
    <row r="9" customFormat="false" ht="12.8" hidden="false" customHeight="false" outlineLevel="0" collapsed="false">
      <c r="A9" s="0" t="n">
        <v>4924</v>
      </c>
      <c r="B9" s="0" t="s">
        <v>29</v>
      </c>
      <c r="C9" s="0" t="s">
        <v>17</v>
      </c>
      <c r="D9" s="0" t="s">
        <v>18</v>
      </c>
      <c r="E9" s="0" t="n">
        <v>39</v>
      </c>
      <c r="F9" s="0" t="s">
        <v>19</v>
      </c>
      <c r="G9" s="0" t="s">
        <v>20</v>
      </c>
      <c r="H9" s="0" t="n">
        <f aca="false">IF(G9=" ALARM",1,0)</f>
        <v>1</v>
      </c>
      <c r="I9" s="0" t="s">
        <v>20</v>
      </c>
      <c r="J9" s="0" t="n">
        <f aca="false">IF(I9=" ALARM",1,0)</f>
        <v>1</v>
      </c>
      <c r="K9" s="0" t="s">
        <v>30</v>
      </c>
      <c r="L9" s="0" t="n">
        <f aca="false">IF(K9=" ALARM",1,0)</f>
        <v>0</v>
      </c>
      <c r="M9" s="0" t="s">
        <v>31</v>
      </c>
      <c r="N9" s="0" t="s">
        <v>32</v>
      </c>
      <c r="O9" s="0" t="s">
        <v>33</v>
      </c>
    </row>
    <row r="10" customFormat="false" ht="12.8" hidden="false" customHeight="false" outlineLevel="0" collapsed="false">
      <c r="A10" s="0" t="n">
        <v>5483</v>
      </c>
      <c r="B10" s="0" t="s">
        <v>34</v>
      </c>
      <c r="C10" s="0" t="s">
        <v>17</v>
      </c>
      <c r="D10" s="0" t="s">
        <v>35</v>
      </c>
      <c r="E10" s="0" t="n">
        <v>39</v>
      </c>
      <c r="F10" s="0" t="s">
        <v>36</v>
      </c>
      <c r="G10" s="0" t="s">
        <v>20</v>
      </c>
      <c r="H10" s="0" t="n">
        <f aca="false">IF(G10=" ALARM",1,0)</f>
        <v>1</v>
      </c>
      <c r="I10" s="0" t="s">
        <v>20</v>
      </c>
      <c r="J10" s="0" t="n">
        <f aca="false">IF(I10=" ALARM",1,0)</f>
        <v>1</v>
      </c>
      <c r="K10" s="0" t="s">
        <v>20</v>
      </c>
      <c r="L10" s="0" t="n">
        <f aca="false">IF(K10=" ALARM",1,0)</f>
        <v>1</v>
      </c>
      <c r="M10" s="0" t="s">
        <v>37</v>
      </c>
      <c r="N10" s="0" t="s">
        <v>38</v>
      </c>
      <c r="O10" s="0" t="s">
        <v>39</v>
      </c>
    </row>
    <row r="11" customFormat="false" ht="12.8" hidden="false" customHeight="false" outlineLevel="0" collapsed="false">
      <c r="A11" s="0" t="n">
        <v>5486</v>
      </c>
      <c r="B11" s="0" t="s">
        <v>40</v>
      </c>
      <c r="C11" s="0" t="s">
        <v>17</v>
      </c>
      <c r="D11" s="0" t="s">
        <v>35</v>
      </c>
      <c r="E11" s="0" t="n">
        <v>39</v>
      </c>
      <c r="F11" s="0" t="s">
        <v>36</v>
      </c>
      <c r="G11" s="0" t="s">
        <v>20</v>
      </c>
      <c r="H11" s="0" t="n">
        <f aca="false">IF(G11=" ALARM",1,0)</f>
        <v>1</v>
      </c>
      <c r="I11" s="0" t="s">
        <v>20</v>
      </c>
      <c r="J11" s="0" t="n">
        <f aca="false">IF(I11=" ALARM",1,0)</f>
        <v>1</v>
      </c>
      <c r="K11" s="0" t="s">
        <v>30</v>
      </c>
      <c r="L11" s="0" t="n">
        <f aca="false">IF(K11=" ALARM",1,0)</f>
        <v>0</v>
      </c>
      <c r="M11" s="0" t="s">
        <v>41</v>
      </c>
      <c r="N11" s="0" t="s">
        <v>42</v>
      </c>
      <c r="O11" s="0" t="s">
        <v>39</v>
      </c>
    </row>
    <row r="12" customFormat="false" ht="12.8" hidden="false" customHeight="false" outlineLevel="0" collapsed="false">
      <c r="A12" s="0" t="n">
        <v>5610</v>
      </c>
      <c r="B12" s="0" t="s">
        <v>43</v>
      </c>
      <c r="C12" s="0" t="s">
        <v>17</v>
      </c>
      <c r="D12" s="0" t="s">
        <v>18</v>
      </c>
      <c r="E12" s="0" t="n">
        <v>39</v>
      </c>
      <c r="F12" s="0" t="s">
        <v>36</v>
      </c>
      <c r="G12" s="0" t="s">
        <v>20</v>
      </c>
      <c r="H12" s="0" t="n">
        <f aca="false">IF(G12=" ALARM",1,0)</f>
        <v>1</v>
      </c>
      <c r="I12" s="0" t="s">
        <v>20</v>
      </c>
      <c r="J12" s="0" t="n">
        <f aca="false">IF(I12=" ALARM",1,0)</f>
        <v>1</v>
      </c>
      <c r="K12" s="0" t="s">
        <v>21</v>
      </c>
      <c r="L12" s="0" t="n">
        <f aca="false">IF(K12=" ALARM",1,0)</f>
        <v>0</v>
      </c>
      <c r="M12" s="0" t="s">
        <v>44</v>
      </c>
      <c r="N12" s="0" t="s">
        <v>45</v>
      </c>
      <c r="O12" s="0" t="s">
        <v>46</v>
      </c>
    </row>
    <row r="13" customFormat="false" ht="12.8" hidden="false" customHeight="false" outlineLevel="0" collapsed="false">
      <c r="A13" s="0" t="n">
        <v>5705</v>
      </c>
      <c r="B13" s="0" t="s">
        <v>47</v>
      </c>
      <c r="C13" s="0" t="s">
        <v>17</v>
      </c>
      <c r="D13" s="0" t="s">
        <v>18</v>
      </c>
      <c r="E13" s="0" t="n">
        <v>39</v>
      </c>
      <c r="F13" s="0" t="s">
        <v>36</v>
      </c>
      <c r="G13" s="0" t="s">
        <v>20</v>
      </c>
      <c r="H13" s="0" t="n">
        <f aca="false">IF(G13=" ALARM",1,0)</f>
        <v>1</v>
      </c>
      <c r="I13" s="0" t="s">
        <v>20</v>
      </c>
      <c r="J13" s="0" t="n">
        <f aca="false">IF(I13=" ALARM",1,0)</f>
        <v>1</v>
      </c>
      <c r="K13" s="0" t="s">
        <v>21</v>
      </c>
      <c r="L13" s="0" t="n">
        <f aca="false">IF(K13=" ALARM",1,0)</f>
        <v>0</v>
      </c>
      <c r="M13" s="0" t="s">
        <v>48</v>
      </c>
      <c r="N13" s="0" t="s">
        <v>49</v>
      </c>
      <c r="O13" s="0" t="s">
        <v>50</v>
      </c>
    </row>
    <row r="14" customFormat="false" ht="12.8" hidden="false" customHeight="false" outlineLevel="0" collapsed="false">
      <c r="A14" s="0" t="n">
        <v>6897</v>
      </c>
      <c r="B14" s="0" t="s">
        <v>51</v>
      </c>
      <c r="C14" s="0" t="s">
        <v>17</v>
      </c>
      <c r="D14" s="0" t="s">
        <v>18</v>
      </c>
      <c r="E14" s="0" t="n">
        <v>39</v>
      </c>
      <c r="F14" s="0" t="s">
        <v>52</v>
      </c>
      <c r="G14" s="0" t="s">
        <v>20</v>
      </c>
      <c r="H14" s="0" t="n">
        <f aca="false">IF(G14=" ALARM",1,0)</f>
        <v>1</v>
      </c>
      <c r="I14" s="0" t="s">
        <v>20</v>
      </c>
      <c r="J14" s="0" t="n">
        <f aca="false">IF(I14=" ALARM",1,0)</f>
        <v>1</v>
      </c>
      <c r="K14" s="0" t="s">
        <v>30</v>
      </c>
      <c r="L14" s="0" t="n">
        <f aca="false">IF(K14=" ALARM",1,0)</f>
        <v>0</v>
      </c>
      <c r="M14" s="0" t="s">
        <v>53</v>
      </c>
      <c r="N14" s="0" t="s">
        <v>54</v>
      </c>
      <c r="O14" s="0" t="s">
        <v>55</v>
      </c>
    </row>
    <row r="15" customFormat="false" ht="12.8" hidden="false" customHeight="false" outlineLevel="0" collapsed="false">
      <c r="A15" s="0" t="n">
        <v>7775</v>
      </c>
      <c r="B15" s="0" t="s">
        <v>56</v>
      </c>
      <c r="C15" s="0" t="s">
        <v>17</v>
      </c>
      <c r="D15" s="0" t="s">
        <v>35</v>
      </c>
      <c r="E15" s="0" t="n">
        <v>39</v>
      </c>
      <c r="F15" s="0" t="s">
        <v>52</v>
      </c>
      <c r="G15" s="0" t="s">
        <v>20</v>
      </c>
      <c r="H15" s="0" t="n">
        <f aca="false">IF(G15=" ALARM",1,0)</f>
        <v>1</v>
      </c>
      <c r="I15" s="0" t="s">
        <v>20</v>
      </c>
      <c r="J15" s="0" t="n">
        <f aca="false">IF(I15=" ALARM",1,0)</f>
        <v>1</v>
      </c>
      <c r="K15" s="0" t="s">
        <v>21</v>
      </c>
      <c r="L15" s="0" t="n">
        <f aca="false">IF(K15=" ALARM",1,0)</f>
        <v>0</v>
      </c>
      <c r="M15" s="0" t="s">
        <v>57</v>
      </c>
      <c r="N15" s="0" t="s">
        <v>58</v>
      </c>
      <c r="O15" s="0" t="s">
        <v>59</v>
      </c>
    </row>
    <row r="16" customFormat="false" ht="12.8" hidden="false" customHeight="false" outlineLevel="0" collapsed="false">
      <c r="A16" s="0" t="n">
        <v>7772</v>
      </c>
      <c r="B16" s="0" t="s">
        <v>60</v>
      </c>
      <c r="C16" s="0" t="s">
        <v>17</v>
      </c>
      <c r="D16" s="0" t="s">
        <v>18</v>
      </c>
      <c r="E16" s="0" t="n">
        <v>39</v>
      </c>
      <c r="F16" s="0" t="s">
        <v>52</v>
      </c>
      <c r="G16" s="0" t="s">
        <v>20</v>
      </c>
      <c r="H16" s="0" t="n">
        <f aca="false">IF(G16=" ALARM",1,0)</f>
        <v>1</v>
      </c>
      <c r="I16" s="0" t="s">
        <v>20</v>
      </c>
      <c r="J16" s="0" t="n">
        <f aca="false">IF(I16=" ALARM",1,0)</f>
        <v>1</v>
      </c>
      <c r="K16" s="0" t="s">
        <v>30</v>
      </c>
      <c r="L16" s="0" t="n">
        <f aca="false">IF(K16=" ALARM",1,0)</f>
        <v>0</v>
      </c>
      <c r="M16" s="0" t="s">
        <v>61</v>
      </c>
      <c r="N16" s="0" t="s">
        <v>62</v>
      </c>
      <c r="O16" s="0" t="s">
        <v>63</v>
      </c>
    </row>
    <row r="17" customFormat="false" ht="12.8" hidden="false" customHeight="false" outlineLevel="0" collapsed="false">
      <c r="A17" s="0" t="n">
        <v>8800</v>
      </c>
      <c r="B17" s="0" t="s">
        <v>64</v>
      </c>
      <c r="C17" s="0" t="s">
        <v>17</v>
      </c>
      <c r="D17" s="0" t="s">
        <v>18</v>
      </c>
      <c r="E17" s="0" t="n">
        <v>39</v>
      </c>
      <c r="F17" s="0" t="s">
        <v>52</v>
      </c>
      <c r="G17" s="0" t="s">
        <v>20</v>
      </c>
      <c r="H17" s="0" t="n">
        <f aca="false">IF(G17=" ALARM",1,0)</f>
        <v>1</v>
      </c>
      <c r="I17" s="0" t="s">
        <v>20</v>
      </c>
      <c r="J17" s="0" t="n">
        <f aca="false">IF(I17=" ALARM",1,0)</f>
        <v>1</v>
      </c>
      <c r="K17" s="0" t="s">
        <v>30</v>
      </c>
      <c r="L17" s="0" t="n">
        <f aca="false">IF(K17=" ALARM",1,0)</f>
        <v>0</v>
      </c>
      <c r="M17" s="0" t="s">
        <v>65</v>
      </c>
      <c r="N17" s="0" t="s">
        <v>66</v>
      </c>
      <c r="O17" s="0" t="s">
        <v>67</v>
      </c>
    </row>
    <row r="18" customFormat="false" ht="12.8" hidden="false" customHeight="false" outlineLevel="0" collapsed="false">
      <c r="A18" s="0" t="n">
        <v>11587</v>
      </c>
      <c r="B18" s="0" t="s">
        <v>68</v>
      </c>
      <c r="C18" s="0" t="s">
        <v>17</v>
      </c>
      <c r="D18" s="0" t="s">
        <v>18</v>
      </c>
      <c r="E18" s="0" t="n">
        <v>39</v>
      </c>
      <c r="F18" s="0" t="s">
        <v>52</v>
      </c>
      <c r="G18" s="0" t="s">
        <v>21</v>
      </c>
      <c r="H18" s="0" t="n">
        <f aca="false">IF(G18=" ALARM",1,0)</f>
        <v>0</v>
      </c>
      <c r="I18" s="0" t="s">
        <v>20</v>
      </c>
      <c r="J18" s="0" t="n">
        <f aca="false">IF(I18=" ALARM",1,0)</f>
        <v>1</v>
      </c>
      <c r="K18" s="0" t="s">
        <v>21</v>
      </c>
      <c r="L18" s="0" t="n">
        <f aca="false">IF(K18=" ALARM",1,0)</f>
        <v>0</v>
      </c>
      <c r="M18" s="0" t="s">
        <v>69</v>
      </c>
      <c r="N18" s="0" t="s">
        <v>70</v>
      </c>
      <c r="O18" s="0" t="s">
        <v>71</v>
      </c>
    </row>
    <row r="19" customFormat="false" ht="12.8" hidden="false" customHeight="false" outlineLevel="0" collapsed="false">
      <c r="A19" s="0" t="n">
        <v>11591</v>
      </c>
      <c r="B19" s="0" t="s">
        <v>72</v>
      </c>
      <c r="C19" s="0" t="s">
        <v>17</v>
      </c>
      <c r="D19" s="0" t="s">
        <v>18</v>
      </c>
      <c r="E19" s="0" t="n">
        <v>39</v>
      </c>
      <c r="F19" s="0" t="s">
        <v>52</v>
      </c>
      <c r="G19" s="0" t="s">
        <v>20</v>
      </c>
      <c r="H19" s="0" t="n">
        <f aca="false">IF(G19=" ALARM",1,0)</f>
        <v>1</v>
      </c>
      <c r="I19" s="0" t="s">
        <v>20</v>
      </c>
      <c r="J19" s="0" t="n">
        <f aca="false">IF(I19=" ALARM",1,0)</f>
        <v>1</v>
      </c>
      <c r="K19" s="0" t="s">
        <v>21</v>
      </c>
      <c r="L19" s="0" t="n">
        <f aca="false">IF(K19=" ALARM",1,0)</f>
        <v>0</v>
      </c>
      <c r="M19" s="0" t="s">
        <v>73</v>
      </c>
      <c r="N19" s="0" t="s">
        <v>74</v>
      </c>
      <c r="O19" s="0" t="s">
        <v>75</v>
      </c>
    </row>
    <row r="20" customFormat="false" ht="12.8" hidden="false" customHeight="false" outlineLevel="0" collapsed="false">
      <c r="A20" s="0" t="n">
        <v>15923</v>
      </c>
      <c r="B20" s="0" t="s">
        <v>76</v>
      </c>
      <c r="C20" s="0" t="s">
        <v>17</v>
      </c>
      <c r="D20" s="0" t="s">
        <v>18</v>
      </c>
      <c r="E20" s="0" t="n">
        <v>39</v>
      </c>
      <c r="F20" s="0" t="s">
        <v>52</v>
      </c>
      <c r="G20" s="0" t="s">
        <v>20</v>
      </c>
      <c r="H20" s="0" t="n">
        <f aca="false">IF(G20=" ALARM",1,0)</f>
        <v>1</v>
      </c>
      <c r="I20" s="0" t="s">
        <v>20</v>
      </c>
      <c r="J20" s="0" t="n">
        <f aca="false">IF(I20=" ALARM",1,0)</f>
        <v>1</v>
      </c>
      <c r="K20" s="0" t="s">
        <v>30</v>
      </c>
      <c r="L20" s="0" t="n">
        <f aca="false">IF(K20=" ALARM",1,0)</f>
        <v>0</v>
      </c>
      <c r="M20" s="0" t="s">
        <v>77</v>
      </c>
      <c r="N20" s="0" t="s">
        <v>78</v>
      </c>
      <c r="O20" s="0" t="s">
        <v>79</v>
      </c>
    </row>
    <row r="21" customFormat="false" ht="12.8" hidden="false" customHeight="false" outlineLevel="0" collapsed="false">
      <c r="A21" s="0" t="n">
        <v>17219</v>
      </c>
      <c r="B21" s="0" t="s">
        <v>80</v>
      </c>
      <c r="C21" s="0" t="s">
        <v>17</v>
      </c>
      <c r="D21" s="0" t="s">
        <v>35</v>
      </c>
      <c r="E21" s="0" t="n">
        <v>39</v>
      </c>
      <c r="F21" s="0" t="s">
        <v>52</v>
      </c>
      <c r="G21" s="0" t="s">
        <v>20</v>
      </c>
      <c r="H21" s="0" t="n">
        <f aca="false">IF(G21=" ALARM",1,0)</f>
        <v>1</v>
      </c>
      <c r="I21" s="0" t="s">
        <v>20</v>
      </c>
      <c r="J21" s="0" t="n">
        <f aca="false">IF(I21=" ALARM",1,0)</f>
        <v>1</v>
      </c>
      <c r="K21" s="0" t="s">
        <v>20</v>
      </c>
      <c r="L21" s="0" t="n">
        <f aca="false">IF(K21=" ALARM",1,0)</f>
        <v>1</v>
      </c>
      <c r="M21" s="0" t="s">
        <v>81</v>
      </c>
      <c r="N21" s="0" t="s">
        <v>82</v>
      </c>
      <c r="O21" s="0" t="s">
        <v>83</v>
      </c>
    </row>
    <row r="22" customFormat="false" ht="12.8" hidden="false" customHeight="false" outlineLevel="0" collapsed="false">
      <c r="A22" s="0" t="n">
        <v>1046</v>
      </c>
      <c r="B22" s="0" t="s">
        <v>84</v>
      </c>
      <c r="C22" s="0" t="s">
        <v>17</v>
      </c>
      <c r="D22" s="0" t="s">
        <v>85</v>
      </c>
      <c r="E22" s="0" t="n">
        <v>45</v>
      </c>
      <c r="F22" s="0" t="s">
        <v>19</v>
      </c>
      <c r="G22" s="0" t="s">
        <v>21</v>
      </c>
      <c r="H22" s="0" t="n">
        <f aca="false">IF(G22=" ALARM",1,0)</f>
        <v>0</v>
      </c>
      <c r="I22" s="0" t="s">
        <v>21</v>
      </c>
      <c r="J22" s="0" t="n">
        <f aca="false">IF(I22=" ALARM",1,0)</f>
        <v>0</v>
      </c>
      <c r="K22" s="0" t="s">
        <v>21</v>
      </c>
      <c r="L22" s="0" t="n">
        <f aca="false">IF(K22=" ALARM",1,0)</f>
        <v>0</v>
      </c>
      <c r="M22" s="0" t="s">
        <v>86</v>
      </c>
      <c r="N22" s="0" t="s">
        <v>86</v>
      </c>
    </row>
    <row r="23" customFormat="false" ht="12.8" hidden="false" customHeight="false" outlineLevel="0" collapsed="false">
      <c r="A23" s="0" t="n">
        <v>5031</v>
      </c>
      <c r="B23" s="0" t="s">
        <v>87</v>
      </c>
      <c r="C23" s="0" t="s">
        <v>17</v>
      </c>
      <c r="D23" s="0" t="s">
        <v>85</v>
      </c>
      <c r="E23" s="0" t="n">
        <v>45</v>
      </c>
      <c r="F23" s="0" t="s">
        <v>19</v>
      </c>
      <c r="G23" s="0" t="s">
        <v>20</v>
      </c>
      <c r="H23" s="0" t="n">
        <f aca="false">IF(G23=" ALARM",1,0)</f>
        <v>1</v>
      </c>
      <c r="I23" s="0" t="s">
        <v>20</v>
      </c>
      <c r="J23" s="0" t="n">
        <f aca="false">IF(I23=" ALARM",1,0)</f>
        <v>1</v>
      </c>
      <c r="K23" s="0" t="s">
        <v>20</v>
      </c>
      <c r="L23" s="0" t="n">
        <f aca="false">IF(K23=" ALARM",1,0)</f>
        <v>1</v>
      </c>
      <c r="M23" s="0" t="s">
        <v>88</v>
      </c>
      <c r="N23" s="0" t="s">
        <v>89</v>
      </c>
    </row>
    <row r="24" customFormat="false" ht="12.8" hidden="false" customHeight="false" outlineLevel="0" collapsed="false">
      <c r="A24" s="0" t="n">
        <v>5087</v>
      </c>
      <c r="B24" s="0" t="s">
        <v>90</v>
      </c>
      <c r="C24" s="0" t="s">
        <v>17</v>
      </c>
      <c r="D24" s="0" t="s">
        <v>85</v>
      </c>
      <c r="E24" s="0" t="n">
        <v>45</v>
      </c>
      <c r="F24" s="0" t="s">
        <v>19</v>
      </c>
      <c r="G24" s="0" t="s">
        <v>20</v>
      </c>
      <c r="H24" s="0" t="n">
        <f aca="false">IF(G24=" ALARM",1,0)</f>
        <v>1</v>
      </c>
      <c r="I24" s="0" t="s">
        <v>20</v>
      </c>
      <c r="J24" s="0" t="n">
        <f aca="false">IF(I24=" ALARM",1,0)</f>
        <v>1</v>
      </c>
      <c r="K24" s="0" t="s">
        <v>21</v>
      </c>
      <c r="L24" s="0" t="n">
        <f aca="false">IF(K24=" ALARM",1,0)</f>
        <v>0</v>
      </c>
      <c r="M24" s="0" t="s">
        <v>91</v>
      </c>
      <c r="N24" s="0" t="s">
        <v>92</v>
      </c>
    </row>
    <row r="25" customFormat="false" ht="12.8" hidden="false" customHeight="false" outlineLevel="0" collapsed="false">
      <c r="A25" s="0" t="n">
        <v>5254</v>
      </c>
      <c r="B25" s="0" t="s">
        <v>93</v>
      </c>
      <c r="C25" s="0" t="s">
        <v>17</v>
      </c>
      <c r="D25" s="0" t="s">
        <v>35</v>
      </c>
      <c r="E25" s="0" t="n">
        <v>45</v>
      </c>
      <c r="F25" s="0" t="s">
        <v>36</v>
      </c>
      <c r="G25" s="0" t="s">
        <v>30</v>
      </c>
      <c r="H25" s="0" t="n">
        <f aca="false">IF(G25=" ALARM",1,0)</f>
        <v>0</v>
      </c>
      <c r="I25" s="0" t="s">
        <v>20</v>
      </c>
      <c r="J25" s="0" t="n">
        <f aca="false">IF(I25=" ALARM",1,0)</f>
        <v>1</v>
      </c>
      <c r="K25" s="0" t="s">
        <v>20</v>
      </c>
      <c r="L25" s="0" t="n">
        <f aca="false">IF(K25=" ALARM",1,0)</f>
        <v>1</v>
      </c>
      <c r="M25" s="0" t="s">
        <v>94</v>
      </c>
      <c r="N25" s="0" t="s">
        <v>95</v>
      </c>
      <c r="O25" s="0" t="s">
        <v>39</v>
      </c>
    </row>
    <row r="26" customFormat="false" ht="12.8" hidden="false" customHeight="false" outlineLevel="0" collapsed="false">
      <c r="A26" s="0" t="n">
        <v>5288</v>
      </c>
      <c r="B26" s="0" t="s">
        <v>96</v>
      </c>
      <c r="C26" s="0" t="s">
        <v>17</v>
      </c>
      <c r="D26" s="0" t="s">
        <v>97</v>
      </c>
      <c r="E26" s="0" t="n">
        <v>45</v>
      </c>
      <c r="F26" s="0" t="s">
        <v>36</v>
      </c>
      <c r="G26" s="0" t="s">
        <v>20</v>
      </c>
      <c r="H26" s="0" t="n">
        <f aca="false">IF(G26=" ALARM",1,0)</f>
        <v>1</v>
      </c>
      <c r="I26" s="0" t="s">
        <v>20</v>
      </c>
      <c r="J26" s="0" t="n">
        <f aca="false">IF(I26=" ALARM",1,0)</f>
        <v>1</v>
      </c>
      <c r="K26" s="0" t="s">
        <v>20</v>
      </c>
      <c r="L26" s="0" t="n">
        <f aca="false">IF(K26=" ALARM",1,0)</f>
        <v>1</v>
      </c>
      <c r="M26" s="0" t="s">
        <v>98</v>
      </c>
      <c r="N26" s="0" t="s">
        <v>99</v>
      </c>
      <c r="O26" s="0" t="s">
        <v>39</v>
      </c>
    </row>
    <row r="27" customFormat="false" ht="12.8" hidden="false" customHeight="false" outlineLevel="0" collapsed="false">
      <c r="A27" s="0" t="n">
        <v>5580</v>
      </c>
      <c r="B27" s="0" t="s">
        <v>100</v>
      </c>
      <c r="C27" s="0" t="s">
        <v>17</v>
      </c>
      <c r="D27" s="0" t="s">
        <v>35</v>
      </c>
      <c r="E27" s="0" t="n">
        <v>45</v>
      </c>
      <c r="F27" s="0" t="s">
        <v>36</v>
      </c>
      <c r="G27" s="0" t="s">
        <v>20</v>
      </c>
      <c r="H27" s="0" t="n">
        <f aca="false">IF(G27=" ALARM",1,0)</f>
        <v>1</v>
      </c>
      <c r="I27" s="0" t="s">
        <v>20</v>
      </c>
      <c r="J27" s="0" t="n">
        <f aca="false">IF(I27=" ALARM",1,0)</f>
        <v>1</v>
      </c>
      <c r="K27" s="0" t="s">
        <v>20</v>
      </c>
      <c r="L27" s="0" t="n">
        <f aca="false">IF(K27=" ALARM",1,0)</f>
        <v>1</v>
      </c>
      <c r="M27" s="0" t="s">
        <v>101</v>
      </c>
      <c r="N27" s="0" t="s">
        <v>102</v>
      </c>
      <c r="O27" s="0" t="s">
        <v>39</v>
      </c>
    </row>
    <row r="28" customFormat="false" ht="12.8" hidden="false" customHeight="false" outlineLevel="0" collapsed="false">
      <c r="A28" s="0" t="n">
        <v>5635</v>
      </c>
      <c r="B28" s="0" t="s">
        <v>103</v>
      </c>
      <c r="C28" s="0" t="s">
        <v>17</v>
      </c>
      <c r="D28" s="0" t="s">
        <v>97</v>
      </c>
      <c r="E28" s="0" t="n">
        <v>45</v>
      </c>
      <c r="F28" s="0" t="s">
        <v>36</v>
      </c>
      <c r="G28" s="0" t="s">
        <v>20</v>
      </c>
      <c r="H28" s="0" t="n">
        <f aca="false">IF(G28=" ALARM",1,0)</f>
        <v>1</v>
      </c>
      <c r="I28" s="0" t="s">
        <v>20</v>
      </c>
      <c r="J28" s="0" t="n">
        <f aca="false">IF(I28=" ALARM",1,0)</f>
        <v>1</v>
      </c>
      <c r="K28" s="0" t="s">
        <v>20</v>
      </c>
      <c r="L28" s="0" t="n">
        <f aca="false">IF(K28=" ALARM",1,0)</f>
        <v>1</v>
      </c>
      <c r="M28" s="0" t="s">
        <v>104</v>
      </c>
      <c r="N28" s="0" t="s">
        <v>105</v>
      </c>
      <c r="O28" s="0" t="s">
        <v>39</v>
      </c>
    </row>
    <row r="29" customFormat="false" ht="12.8" hidden="false" customHeight="false" outlineLevel="0" collapsed="false">
      <c r="A29" s="0" t="n">
        <v>5637</v>
      </c>
      <c r="B29" s="0" t="s">
        <v>106</v>
      </c>
      <c r="C29" s="0" t="s">
        <v>17</v>
      </c>
      <c r="D29" s="0" t="s">
        <v>35</v>
      </c>
      <c r="E29" s="0" t="n">
        <v>45</v>
      </c>
      <c r="F29" s="0" t="s">
        <v>36</v>
      </c>
      <c r="G29" s="0" t="s">
        <v>20</v>
      </c>
      <c r="H29" s="0" t="n">
        <f aca="false">IF(G29=" ALARM",1,0)</f>
        <v>1</v>
      </c>
      <c r="I29" s="0" t="s">
        <v>20</v>
      </c>
      <c r="J29" s="0" t="n">
        <f aca="false">IF(I29=" ALARM",1,0)</f>
        <v>1</v>
      </c>
      <c r="K29" s="0" t="s">
        <v>20</v>
      </c>
      <c r="L29" s="0" t="n">
        <f aca="false">IF(K29=" ALARM",1,0)</f>
        <v>1</v>
      </c>
      <c r="M29" s="0" t="s">
        <v>107</v>
      </c>
      <c r="N29" s="0" t="s">
        <v>108</v>
      </c>
      <c r="O29" s="0" t="s">
        <v>39</v>
      </c>
    </row>
    <row r="30" customFormat="false" ht="12.8" hidden="false" customHeight="false" outlineLevel="0" collapsed="false">
      <c r="A30" s="0" t="n">
        <v>5721</v>
      </c>
      <c r="B30" s="0" t="s">
        <v>109</v>
      </c>
      <c r="C30" s="0" t="s">
        <v>17</v>
      </c>
      <c r="D30" s="0" t="s">
        <v>97</v>
      </c>
      <c r="E30" s="0" t="n">
        <v>45</v>
      </c>
      <c r="F30" s="0" t="s">
        <v>36</v>
      </c>
      <c r="G30" s="0" t="s">
        <v>20</v>
      </c>
      <c r="H30" s="0" t="n">
        <f aca="false">IF(G30=" ALARM",1,0)</f>
        <v>1</v>
      </c>
      <c r="I30" s="0" t="s">
        <v>20</v>
      </c>
      <c r="J30" s="0" t="n">
        <f aca="false">IF(I30=" ALARM",1,0)</f>
        <v>1</v>
      </c>
      <c r="K30" s="0" t="s">
        <v>21</v>
      </c>
      <c r="L30" s="0" t="n">
        <f aca="false">IF(K30=" ALARM",1,0)</f>
        <v>0</v>
      </c>
      <c r="M30" s="0" t="s">
        <v>110</v>
      </c>
      <c r="N30" s="0" t="s">
        <v>111</v>
      </c>
      <c r="O30" s="0" t="s">
        <v>39</v>
      </c>
    </row>
    <row r="31" customFormat="false" ht="12.8" hidden="false" customHeight="false" outlineLevel="0" collapsed="false">
      <c r="A31" s="0" t="n">
        <v>5745</v>
      </c>
      <c r="B31" s="0" t="s">
        <v>112</v>
      </c>
      <c r="C31" s="0" t="s">
        <v>17</v>
      </c>
      <c r="D31" s="0" t="s">
        <v>35</v>
      </c>
      <c r="E31" s="0" t="n">
        <v>45</v>
      </c>
      <c r="F31" s="0" t="s">
        <v>36</v>
      </c>
      <c r="G31" s="0" t="s">
        <v>20</v>
      </c>
      <c r="H31" s="0" t="n">
        <f aca="false">IF(G31=" ALARM",1,0)</f>
        <v>1</v>
      </c>
      <c r="I31" s="0" t="s">
        <v>20</v>
      </c>
      <c r="J31" s="0" t="n">
        <f aca="false">IF(I31=" ALARM",1,0)</f>
        <v>1</v>
      </c>
      <c r="K31" s="0" t="s">
        <v>20</v>
      </c>
      <c r="L31" s="0" t="n">
        <f aca="false">IF(K31=" ALARM",1,0)</f>
        <v>1</v>
      </c>
      <c r="M31" s="0" t="s">
        <v>113</v>
      </c>
      <c r="N31" s="0" t="s">
        <v>114</v>
      </c>
      <c r="O31" s="0" t="s">
        <v>39</v>
      </c>
    </row>
    <row r="32" customFormat="false" ht="12.8" hidden="false" customHeight="false" outlineLevel="0" collapsed="false">
      <c r="A32" s="0" t="n">
        <v>5891</v>
      </c>
      <c r="B32" s="0" t="s">
        <v>115</v>
      </c>
      <c r="C32" s="0" t="s">
        <v>17</v>
      </c>
      <c r="D32" s="0" t="s">
        <v>35</v>
      </c>
      <c r="E32" s="0" t="n">
        <v>45</v>
      </c>
      <c r="F32" s="0" t="s">
        <v>52</v>
      </c>
      <c r="G32" s="0" t="s">
        <v>20</v>
      </c>
      <c r="H32" s="0" t="n">
        <f aca="false">IF(G32=" ALARM",1,0)</f>
        <v>1</v>
      </c>
      <c r="I32" s="0" t="s">
        <v>20</v>
      </c>
      <c r="J32" s="0" t="n">
        <f aca="false">IF(I32=" ALARM",1,0)</f>
        <v>1</v>
      </c>
      <c r="K32" s="0" t="s">
        <v>30</v>
      </c>
      <c r="L32" s="0" t="n">
        <f aca="false">IF(K32=" ALARM",1,0)</f>
        <v>0</v>
      </c>
      <c r="M32" s="0" t="s">
        <v>116</v>
      </c>
      <c r="N32" s="0" t="s">
        <v>117</v>
      </c>
    </row>
    <row r="33" customFormat="false" ht="12.8" hidden="false" customHeight="false" outlineLevel="0" collapsed="false">
      <c r="A33" s="0" t="n">
        <v>5889</v>
      </c>
      <c r="B33" s="0" t="s">
        <v>118</v>
      </c>
      <c r="C33" s="0" t="s">
        <v>17</v>
      </c>
      <c r="D33" s="0" t="s">
        <v>35</v>
      </c>
      <c r="E33" s="0" t="n">
        <v>45</v>
      </c>
      <c r="F33" s="0" t="s">
        <v>52</v>
      </c>
      <c r="G33" s="0" t="s">
        <v>21</v>
      </c>
      <c r="H33" s="0" t="n">
        <f aca="false">IF(G33=" ALARM",1,0)</f>
        <v>0</v>
      </c>
      <c r="I33" s="0" t="s">
        <v>21</v>
      </c>
      <c r="J33" s="0" t="n">
        <f aca="false">IF(I33=" ALARM",1,0)</f>
        <v>0</v>
      </c>
      <c r="K33" s="0" t="s">
        <v>20</v>
      </c>
      <c r="L33" s="0" t="n">
        <f aca="false">IF(K33=" ALARM",1,0)</f>
        <v>1</v>
      </c>
      <c r="M33" s="0" t="s">
        <v>119</v>
      </c>
      <c r="N33" s="0" t="s">
        <v>119</v>
      </c>
    </row>
    <row r="34" customFormat="false" ht="12.8" hidden="false" customHeight="false" outlineLevel="0" collapsed="false">
      <c r="A34" s="0" t="n">
        <v>6476</v>
      </c>
      <c r="B34" s="0" t="s">
        <v>120</v>
      </c>
      <c r="C34" s="0" t="s">
        <v>17</v>
      </c>
      <c r="D34" s="0" t="s">
        <v>35</v>
      </c>
      <c r="E34" s="0" t="n">
        <v>45</v>
      </c>
      <c r="F34" s="0" t="s">
        <v>36</v>
      </c>
      <c r="G34" s="0" t="s">
        <v>20</v>
      </c>
      <c r="H34" s="0" t="n">
        <f aca="false">IF(G34=" ALARM",1,0)</f>
        <v>1</v>
      </c>
      <c r="I34" s="0" t="s">
        <v>20</v>
      </c>
      <c r="J34" s="0" t="n">
        <f aca="false">IF(I34=" ALARM",1,0)</f>
        <v>1</v>
      </c>
      <c r="K34" s="0" t="s">
        <v>20</v>
      </c>
      <c r="L34" s="0" t="n">
        <f aca="false">IF(K34=" ALARM",1,0)</f>
        <v>1</v>
      </c>
      <c r="M34" s="0" t="s">
        <v>121</v>
      </c>
      <c r="N34" s="0" t="s">
        <v>122</v>
      </c>
      <c r="O34" s="0" t="s">
        <v>39</v>
      </c>
    </row>
    <row r="35" customFormat="false" ht="12.8" hidden="false" customHeight="false" outlineLevel="0" collapsed="false">
      <c r="A35" s="0" t="n">
        <v>6587</v>
      </c>
      <c r="B35" s="0" t="s">
        <v>123</v>
      </c>
      <c r="C35" s="0" t="s">
        <v>17</v>
      </c>
      <c r="D35" s="0" t="s">
        <v>97</v>
      </c>
      <c r="E35" s="0" t="n">
        <v>45</v>
      </c>
      <c r="F35" s="0" t="s">
        <v>36</v>
      </c>
      <c r="G35" s="0" t="s">
        <v>20</v>
      </c>
      <c r="H35" s="0" t="n">
        <f aca="false">IF(G35=" ALARM",1,0)</f>
        <v>1</v>
      </c>
      <c r="I35" s="0" t="s">
        <v>20</v>
      </c>
      <c r="J35" s="0" t="n">
        <f aca="false">IF(I35=" ALARM",1,0)</f>
        <v>1</v>
      </c>
      <c r="K35" s="0" t="s">
        <v>20</v>
      </c>
      <c r="L35" s="0" t="n">
        <f aca="false">IF(K35=" ALARM",1,0)</f>
        <v>1</v>
      </c>
      <c r="M35" s="0" t="s">
        <v>124</v>
      </c>
      <c r="N35" s="0" t="s">
        <v>125</v>
      </c>
      <c r="O35" s="0" t="s">
        <v>39</v>
      </c>
    </row>
    <row r="36" customFormat="false" ht="12.8" hidden="false" customHeight="false" outlineLevel="0" collapsed="false">
      <c r="A36" s="0" t="n">
        <v>6590</v>
      </c>
      <c r="B36" s="0" t="s">
        <v>126</v>
      </c>
      <c r="C36" s="0" t="s">
        <v>17</v>
      </c>
      <c r="D36" s="0" t="s">
        <v>35</v>
      </c>
      <c r="E36" s="0" t="n">
        <v>45</v>
      </c>
      <c r="F36" s="0" t="s">
        <v>36</v>
      </c>
      <c r="G36" s="0" t="s">
        <v>20</v>
      </c>
      <c r="H36" s="0" t="n">
        <f aca="false">IF(G36=" ALARM",1,0)</f>
        <v>1</v>
      </c>
      <c r="I36" s="0" t="s">
        <v>20</v>
      </c>
      <c r="J36" s="0" t="n">
        <f aca="false">IF(I36=" ALARM",1,0)</f>
        <v>1</v>
      </c>
      <c r="K36" s="0" t="s">
        <v>20</v>
      </c>
      <c r="L36" s="0" t="n">
        <f aca="false">IF(K36=" ALARM",1,0)</f>
        <v>1</v>
      </c>
      <c r="M36" s="0" t="s">
        <v>127</v>
      </c>
      <c r="N36" s="0" t="s">
        <v>128</v>
      </c>
      <c r="O36" s="0" t="s">
        <v>39</v>
      </c>
    </row>
    <row r="37" customFormat="false" ht="12.8" hidden="false" customHeight="false" outlineLevel="0" collapsed="false">
      <c r="A37" s="0" t="n">
        <v>6668</v>
      </c>
      <c r="B37" s="0" t="s">
        <v>129</v>
      </c>
      <c r="C37" s="0" t="s">
        <v>17</v>
      </c>
      <c r="D37" s="0" t="s">
        <v>35</v>
      </c>
      <c r="E37" s="0" t="n">
        <v>45</v>
      </c>
      <c r="F37" s="0" t="s">
        <v>36</v>
      </c>
      <c r="G37" s="0" t="s">
        <v>21</v>
      </c>
      <c r="H37" s="0" t="n">
        <f aca="false">IF(G37=" ALARM",1,0)</f>
        <v>0</v>
      </c>
      <c r="I37" s="0" t="s">
        <v>20</v>
      </c>
      <c r="J37" s="0" t="n">
        <f aca="false">IF(I37=" ALARM",1,0)</f>
        <v>1</v>
      </c>
      <c r="K37" s="0" t="s">
        <v>30</v>
      </c>
      <c r="L37" s="0" t="n">
        <f aca="false">IF(K37=" ALARM",1,0)</f>
        <v>0</v>
      </c>
      <c r="M37" s="0" t="s">
        <v>69</v>
      </c>
      <c r="N37" s="0" t="s">
        <v>130</v>
      </c>
      <c r="O37" s="0" t="s">
        <v>39</v>
      </c>
    </row>
    <row r="38" customFormat="false" ht="12.8" hidden="false" customHeight="false" outlineLevel="0" collapsed="false">
      <c r="A38" s="0" t="n">
        <v>6717</v>
      </c>
      <c r="B38" s="0" t="s">
        <v>131</v>
      </c>
      <c r="C38" s="0" t="s">
        <v>17</v>
      </c>
      <c r="D38" s="0" t="s">
        <v>132</v>
      </c>
      <c r="E38" s="0" t="n">
        <v>45</v>
      </c>
      <c r="F38" s="0" t="s">
        <v>36</v>
      </c>
      <c r="G38" s="0" t="s">
        <v>20</v>
      </c>
      <c r="H38" s="0" t="n">
        <f aca="false">IF(G38=" ALARM",1,0)</f>
        <v>1</v>
      </c>
      <c r="I38" s="0" t="s">
        <v>20</v>
      </c>
      <c r="J38" s="0" t="n">
        <f aca="false">IF(I38=" ALARM",1,0)</f>
        <v>1</v>
      </c>
      <c r="K38" s="0" t="s">
        <v>20</v>
      </c>
      <c r="L38" s="0" t="n">
        <f aca="false">IF(K38=" ALARM",1,0)</f>
        <v>1</v>
      </c>
      <c r="M38" s="0" t="s">
        <v>133</v>
      </c>
      <c r="N38" s="0" t="s">
        <v>134</v>
      </c>
      <c r="O38" s="0" t="s">
        <v>39</v>
      </c>
    </row>
    <row r="39" customFormat="false" ht="12.8" hidden="false" customHeight="false" outlineLevel="0" collapsed="false">
      <c r="A39" s="0" t="n">
        <v>6732</v>
      </c>
      <c r="B39" s="0" t="s">
        <v>135</v>
      </c>
      <c r="C39" s="0" t="s">
        <v>17</v>
      </c>
      <c r="D39" s="0" t="s">
        <v>35</v>
      </c>
      <c r="E39" s="0" t="n">
        <v>45</v>
      </c>
      <c r="F39" s="0" t="s">
        <v>36</v>
      </c>
      <c r="G39" s="0" t="s">
        <v>20</v>
      </c>
      <c r="H39" s="0" t="n">
        <f aca="false">IF(G39=" ALARM",1,0)</f>
        <v>1</v>
      </c>
      <c r="I39" s="0" t="s">
        <v>20</v>
      </c>
      <c r="J39" s="0" t="n">
        <f aca="false">IF(I39=" ALARM",1,0)</f>
        <v>1</v>
      </c>
      <c r="K39" s="0" t="s">
        <v>20</v>
      </c>
      <c r="L39" s="0" t="n">
        <f aca="false">IF(K39=" ALARM",1,0)</f>
        <v>1</v>
      </c>
      <c r="M39" s="0" t="s">
        <v>136</v>
      </c>
      <c r="N39" s="0" t="s">
        <v>137</v>
      </c>
      <c r="O39" s="0" t="s">
        <v>39</v>
      </c>
    </row>
    <row r="40" customFormat="false" ht="12.8" hidden="false" customHeight="false" outlineLevel="0" collapsed="false">
      <c r="A40" s="0" t="n">
        <v>6761</v>
      </c>
      <c r="B40" s="0" t="s">
        <v>138</v>
      </c>
      <c r="C40" s="0" t="s">
        <v>17</v>
      </c>
      <c r="D40" s="0" t="s">
        <v>97</v>
      </c>
      <c r="E40" s="0" t="n">
        <v>45</v>
      </c>
      <c r="F40" s="0" t="s">
        <v>36</v>
      </c>
      <c r="G40" s="0" t="s">
        <v>20</v>
      </c>
      <c r="H40" s="0" t="n">
        <f aca="false">IF(G40=" ALARM",1,0)</f>
        <v>1</v>
      </c>
      <c r="I40" s="0" t="s">
        <v>20</v>
      </c>
      <c r="J40" s="0" t="n">
        <f aca="false">IF(I40=" ALARM",1,0)</f>
        <v>1</v>
      </c>
      <c r="K40" s="0" t="s">
        <v>20</v>
      </c>
      <c r="L40" s="0" t="n">
        <f aca="false">IF(K40=" ALARM",1,0)</f>
        <v>1</v>
      </c>
      <c r="M40" s="0" t="s">
        <v>139</v>
      </c>
      <c r="N40" s="0" t="s">
        <v>140</v>
      </c>
      <c r="O40" s="0" t="s">
        <v>39</v>
      </c>
    </row>
    <row r="41" customFormat="false" ht="12.8" hidden="false" customHeight="false" outlineLevel="0" collapsed="false">
      <c r="A41" s="0" t="n">
        <v>6767</v>
      </c>
      <c r="B41" s="0" t="s">
        <v>141</v>
      </c>
      <c r="C41" s="0" t="s">
        <v>17</v>
      </c>
      <c r="D41" s="0" t="s">
        <v>18</v>
      </c>
      <c r="E41" s="0" t="n">
        <v>45</v>
      </c>
      <c r="F41" s="0" t="s">
        <v>36</v>
      </c>
      <c r="G41" s="0" t="s">
        <v>20</v>
      </c>
      <c r="H41" s="0" t="n">
        <f aca="false">IF(G41=" ALARM",1,0)</f>
        <v>1</v>
      </c>
      <c r="I41" s="0" t="s">
        <v>20</v>
      </c>
      <c r="J41" s="0" t="n">
        <f aca="false">IF(I41=" ALARM",1,0)</f>
        <v>1</v>
      </c>
      <c r="K41" s="0" t="s">
        <v>20</v>
      </c>
      <c r="L41" s="0" t="n">
        <f aca="false">IF(K41=" ALARM",1,0)</f>
        <v>1</v>
      </c>
      <c r="M41" s="0" t="s">
        <v>142</v>
      </c>
      <c r="N41" s="0" t="s">
        <v>143</v>
      </c>
      <c r="O41" s="0" t="s">
        <v>144</v>
      </c>
    </row>
    <row r="42" customFormat="false" ht="12.8" hidden="false" customHeight="false" outlineLevel="0" collapsed="false">
      <c r="A42" s="0" t="n">
        <v>6808</v>
      </c>
      <c r="B42" s="0" t="s">
        <v>145</v>
      </c>
      <c r="C42" s="0" t="s">
        <v>17</v>
      </c>
      <c r="D42" s="0" t="s">
        <v>97</v>
      </c>
      <c r="E42" s="0" t="n">
        <v>45</v>
      </c>
      <c r="F42" s="0" t="s">
        <v>36</v>
      </c>
      <c r="G42" s="0" t="s">
        <v>20</v>
      </c>
      <c r="H42" s="0" t="n">
        <f aca="false">IF(G42=" ALARM",1,0)</f>
        <v>1</v>
      </c>
      <c r="I42" s="0" t="s">
        <v>20</v>
      </c>
      <c r="J42" s="0" t="n">
        <f aca="false">IF(I42=" ALARM",1,0)</f>
        <v>1</v>
      </c>
      <c r="K42" s="0" t="s">
        <v>20</v>
      </c>
      <c r="L42" s="0" t="n">
        <f aca="false">IF(K42=" ALARM",1,0)</f>
        <v>1</v>
      </c>
      <c r="M42" s="0" t="s">
        <v>146</v>
      </c>
      <c r="N42" s="0" t="s">
        <v>147</v>
      </c>
      <c r="O42" s="0" t="s">
        <v>39</v>
      </c>
    </row>
    <row r="43" customFormat="false" ht="12.8" hidden="false" customHeight="false" outlineLevel="0" collapsed="false">
      <c r="A43" s="0" t="n">
        <v>6815</v>
      </c>
      <c r="B43" s="0" t="s">
        <v>148</v>
      </c>
      <c r="C43" s="0" t="s">
        <v>17</v>
      </c>
      <c r="D43" s="0" t="s">
        <v>132</v>
      </c>
      <c r="E43" s="0" t="n">
        <v>45</v>
      </c>
      <c r="F43" s="0" t="s">
        <v>36</v>
      </c>
      <c r="G43" s="0" t="s">
        <v>20</v>
      </c>
      <c r="H43" s="0" t="n">
        <f aca="false">IF(G43=" ALARM",1,0)</f>
        <v>1</v>
      </c>
      <c r="I43" s="0" t="s">
        <v>20</v>
      </c>
      <c r="J43" s="0" t="n">
        <f aca="false">IF(I43=" ALARM",1,0)</f>
        <v>1</v>
      </c>
      <c r="K43" s="0" t="s">
        <v>20</v>
      </c>
      <c r="L43" s="0" t="n">
        <f aca="false">IF(K43=" ALARM",1,0)</f>
        <v>1</v>
      </c>
      <c r="M43" s="0" t="s">
        <v>149</v>
      </c>
      <c r="N43" s="0" t="s">
        <v>150</v>
      </c>
      <c r="O43" s="0" t="s">
        <v>39</v>
      </c>
    </row>
    <row r="44" customFormat="false" ht="12.8" hidden="false" customHeight="false" outlineLevel="0" collapsed="false">
      <c r="A44" s="0" t="n">
        <v>6840</v>
      </c>
      <c r="B44" s="0" t="s">
        <v>151</v>
      </c>
      <c r="C44" s="0" t="s">
        <v>17</v>
      </c>
      <c r="D44" s="0" t="s">
        <v>97</v>
      </c>
      <c r="E44" s="0" t="n">
        <v>45</v>
      </c>
      <c r="F44" s="0" t="s">
        <v>36</v>
      </c>
      <c r="G44" s="0" t="s">
        <v>20</v>
      </c>
      <c r="H44" s="0" t="n">
        <f aca="false">IF(G44=" ALARM",1,0)</f>
        <v>1</v>
      </c>
      <c r="I44" s="0" t="s">
        <v>20</v>
      </c>
      <c r="J44" s="0" t="n">
        <f aca="false">IF(I44=" ALARM",1,0)</f>
        <v>1</v>
      </c>
      <c r="K44" s="0" t="s">
        <v>21</v>
      </c>
      <c r="L44" s="0" t="n">
        <f aca="false">IF(K44=" ALARM",1,0)</f>
        <v>0</v>
      </c>
      <c r="M44" s="0" t="s">
        <v>152</v>
      </c>
      <c r="N44" s="0" t="s">
        <v>153</v>
      </c>
      <c r="O44" s="0" t="s">
        <v>39</v>
      </c>
    </row>
    <row r="45" customFormat="false" ht="12.8" hidden="false" customHeight="false" outlineLevel="0" collapsed="false">
      <c r="A45" s="0" t="n">
        <v>6847</v>
      </c>
      <c r="B45" s="0" t="s">
        <v>154</v>
      </c>
      <c r="C45" s="0" t="s">
        <v>17</v>
      </c>
      <c r="D45" s="0" t="s">
        <v>18</v>
      </c>
      <c r="E45" s="0" t="n">
        <v>45</v>
      </c>
      <c r="F45" s="0" t="s">
        <v>36</v>
      </c>
      <c r="G45" s="0" t="s">
        <v>20</v>
      </c>
      <c r="H45" s="0" t="n">
        <f aca="false">IF(G45=" ALARM",1,0)</f>
        <v>1</v>
      </c>
      <c r="I45" s="0" t="s">
        <v>20</v>
      </c>
      <c r="J45" s="0" t="n">
        <f aca="false">IF(I45=" ALARM",1,0)</f>
        <v>1</v>
      </c>
      <c r="K45" s="0" t="s">
        <v>20</v>
      </c>
      <c r="L45" s="0" t="n">
        <f aca="false">IF(K45=" ALARM",1,0)</f>
        <v>1</v>
      </c>
      <c r="M45" s="0" t="s">
        <v>155</v>
      </c>
      <c r="N45" s="0" t="s">
        <v>156</v>
      </c>
      <c r="O45" s="0" t="s">
        <v>157</v>
      </c>
    </row>
    <row r="46" customFormat="false" ht="12.8" hidden="false" customHeight="false" outlineLevel="0" collapsed="false">
      <c r="A46" s="0" t="n">
        <v>6886</v>
      </c>
      <c r="B46" s="0" t="s">
        <v>158</v>
      </c>
      <c r="C46" s="0" t="s">
        <v>17</v>
      </c>
      <c r="D46" s="0" t="s">
        <v>97</v>
      </c>
      <c r="E46" s="0" t="n">
        <v>45</v>
      </c>
      <c r="F46" s="0" t="s">
        <v>36</v>
      </c>
      <c r="G46" s="0" t="s">
        <v>20</v>
      </c>
      <c r="H46" s="0" t="n">
        <f aca="false">IF(G46=" ALARM",1,0)</f>
        <v>1</v>
      </c>
      <c r="I46" s="0" t="s">
        <v>20</v>
      </c>
      <c r="J46" s="0" t="n">
        <f aca="false">IF(I46=" ALARM",1,0)</f>
        <v>1</v>
      </c>
      <c r="K46" s="0" t="s">
        <v>20</v>
      </c>
      <c r="L46" s="0" t="n">
        <f aca="false">IF(K46=" ALARM",1,0)</f>
        <v>1</v>
      </c>
      <c r="M46" s="0" t="s">
        <v>159</v>
      </c>
      <c r="N46" s="0" t="s">
        <v>160</v>
      </c>
      <c r="O46" s="0" t="s">
        <v>39</v>
      </c>
    </row>
    <row r="47" customFormat="false" ht="12.8" hidden="false" customHeight="false" outlineLevel="0" collapsed="false">
      <c r="A47" s="0" t="n">
        <v>6998</v>
      </c>
      <c r="B47" s="0" t="s">
        <v>161</v>
      </c>
      <c r="C47" s="0" t="s">
        <v>17</v>
      </c>
      <c r="D47" s="0" t="s">
        <v>97</v>
      </c>
      <c r="E47" s="0" t="n">
        <v>45</v>
      </c>
      <c r="F47" s="0" t="s">
        <v>36</v>
      </c>
      <c r="G47" s="0" t="s">
        <v>20</v>
      </c>
      <c r="H47" s="0" t="n">
        <f aca="false">IF(G47=" ALARM",1,0)</f>
        <v>1</v>
      </c>
      <c r="I47" s="0" t="s">
        <v>20</v>
      </c>
      <c r="J47" s="0" t="n">
        <f aca="false">IF(I47=" ALARM",1,0)</f>
        <v>1</v>
      </c>
      <c r="K47" s="0" t="s">
        <v>20</v>
      </c>
      <c r="L47" s="0" t="n">
        <f aca="false">IF(K47=" ALARM",1,0)</f>
        <v>1</v>
      </c>
      <c r="M47" s="0" t="s">
        <v>162</v>
      </c>
      <c r="N47" s="0" t="s">
        <v>163</v>
      </c>
      <c r="O47" s="0" t="s">
        <v>39</v>
      </c>
    </row>
    <row r="48" customFormat="false" ht="12.8" hidden="false" customHeight="false" outlineLevel="0" collapsed="false">
      <c r="A48" s="0" t="n">
        <v>7006</v>
      </c>
      <c r="B48" s="0" t="s">
        <v>164</v>
      </c>
      <c r="C48" s="0" t="s">
        <v>17</v>
      </c>
      <c r="D48" s="0" t="s">
        <v>97</v>
      </c>
      <c r="E48" s="0" t="n">
        <v>45</v>
      </c>
      <c r="F48" s="0" t="s">
        <v>36</v>
      </c>
      <c r="G48" s="0" t="s">
        <v>30</v>
      </c>
      <c r="H48" s="0" t="n">
        <f aca="false">IF(G48=" ALARM",1,0)</f>
        <v>0</v>
      </c>
      <c r="I48" s="0" t="s">
        <v>20</v>
      </c>
      <c r="J48" s="0" t="n">
        <f aca="false">IF(I48=" ALARM",1,0)</f>
        <v>1</v>
      </c>
      <c r="K48" s="0" t="s">
        <v>20</v>
      </c>
      <c r="L48" s="0" t="n">
        <f aca="false">IF(K48=" ALARM",1,0)</f>
        <v>1</v>
      </c>
      <c r="M48" s="0" t="s">
        <v>165</v>
      </c>
      <c r="N48" s="0" t="s">
        <v>166</v>
      </c>
      <c r="O48" s="0" t="s">
        <v>39</v>
      </c>
    </row>
    <row r="49" customFormat="false" ht="12.8" hidden="false" customHeight="false" outlineLevel="0" collapsed="false">
      <c r="A49" s="0" t="n">
        <v>7007</v>
      </c>
      <c r="B49" s="0" t="s">
        <v>167</v>
      </c>
      <c r="C49" s="0" t="s">
        <v>17</v>
      </c>
      <c r="D49" s="0" t="s">
        <v>97</v>
      </c>
      <c r="E49" s="0" t="n">
        <v>45</v>
      </c>
      <c r="F49" s="0" t="s">
        <v>36</v>
      </c>
      <c r="G49" s="0" t="s">
        <v>21</v>
      </c>
      <c r="H49" s="0" t="n">
        <f aca="false">IF(G49=" ALARM",1,0)</f>
        <v>0</v>
      </c>
      <c r="I49" s="0" t="s">
        <v>20</v>
      </c>
      <c r="J49" s="0" t="n">
        <f aca="false">IF(I49=" ALARM",1,0)</f>
        <v>1</v>
      </c>
      <c r="K49" s="0" t="s">
        <v>20</v>
      </c>
      <c r="L49" s="0" t="n">
        <f aca="false">IF(K49=" ALARM",1,0)</f>
        <v>1</v>
      </c>
      <c r="M49" s="0" t="s">
        <v>168</v>
      </c>
      <c r="N49" s="0" t="s">
        <v>169</v>
      </c>
      <c r="O49" s="0" t="s">
        <v>39</v>
      </c>
    </row>
    <row r="50" customFormat="false" ht="12.8" hidden="false" customHeight="false" outlineLevel="0" collapsed="false">
      <c r="A50" s="0" t="n">
        <v>7036</v>
      </c>
      <c r="B50" s="0" t="s">
        <v>170</v>
      </c>
      <c r="C50" s="0" t="s">
        <v>17</v>
      </c>
      <c r="D50" s="0" t="s">
        <v>97</v>
      </c>
      <c r="E50" s="0" t="n">
        <v>45</v>
      </c>
      <c r="F50" s="0" t="s">
        <v>36</v>
      </c>
      <c r="G50" s="0" t="s">
        <v>20</v>
      </c>
      <c r="H50" s="0" t="n">
        <f aca="false">IF(G50=" ALARM",1,0)</f>
        <v>1</v>
      </c>
      <c r="I50" s="0" t="s">
        <v>20</v>
      </c>
      <c r="J50" s="0" t="n">
        <f aca="false">IF(I50=" ALARM",1,0)</f>
        <v>1</v>
      </c>
      <c r="K50" s="0" t="s">
        <v>20</v>
      </c>
      <c r="L50" s="0" t="n">
        <f aca="false">IF(K50=" ALARM",1,0)</f>
        <v>1</v>
      </c>
      <c r="M50" s="0" t="s">
        <v>171</v>
      </c>
      <c r="N50" s="0" t="s">
        <v>172</v>
      </c>
      <c r="O50" s="0" t="s">
        <v>39</v>
      </c>
    </row>
    <row r="51" customFormat="false" ht="12.8" hidden="false" customHeight="false" outlineLevel="0" collapsed="false">
      <c r="A51" s="0" t="n">
        <v>7044</v>
      </c>
      <c r="B51" s="0" t="s">
        <v>173</v>
      </c>
      <c r="C51" s="0" t="s">
        <v>17</v>
      </c>
      <c r="D51" s="0" t="s">
        <v>97</v>
      </c>
      <c r="E51" s="0" t="n">
        <v>45</v>
      </c>
      <c r="F51" s="0" t="s">
        <v>36</v>
      </c>
      <c r="G51" s="0" t="s">
        <v>20</v>
      </c>
      <c r="H51" s="0" t="n">
        <f aca="false">IF(G51=" ALARM",1,0)</f>
        <v>1</v>
      </c>
      <c r="I51" s="0" t="s">
        <v>20</v>
      </c>
      <c r="J51" s="0" t="n">
        <f aca="false">IF(I51=" ALARM",1,0)</f>
        <v>1</v>
      </c>
      <c r="K51" s="0" t="s">
        <v>20</v>
      </c>
      <c r="L51" s="0" t="n">
        <f aca="false">IF(K51=" ALARM",1,0)</f>
        <v>1</v>
      </c>
      <c r="M51" s="0" t="s">
        <v>174</v>
      </c>
      <c r="N51" s="0" t="s">
        <v>175</v>
      </c>
      <c r="O51" s="0" t="s">
        <v>39</v>
      </c>
    </row>
    <row r="52" customFormat="false" ht="12.8" hidden="false" customHeight="false" outlineLevel="0" collapsed="false">
      <c r="A52" s="0" t="n">
        <v>7125</v>
      </c>
      <c r="B52" s="0" t="s">
        <v>176</v>
      </c>
      <c r="C52" s="0" t="s">
        <v>17</v>
      </c>
      <c r="D52" s="0" t="s">
        <v>97</v>
      </c>
      <c r="E52" s="0" t="n">
        <v>45</v>
      </c>
      <c r="F52" s="0" t="s">
        <v>36</v>
      </c>
      <c r="G52" s="0" t="s">
        <v>20</v>
      </c>
      <c r="H52" s="0" t="n">
        <f aca="false">IF(G52=" ALARM",1,0)</f>
        <v>1</v>
      </c>
      <c r="I52" s="0" t="s">
        <v>20</v>
      </c>
      <c r="J52" s="0" t="n">
        <f aca="false">IF(I52=" ALARM",1,0)</f>
        <v>1</v>
      </c>
      <c r="K52" s="0" t="s">
        <v>20</v>
      </c>
      <c r="L52" s="0" t="n">
        <f aca="false">IF(K52=" ALARM",1,0)</f>
        <v>1</v>
      </c>
      <c r="M52" s="0" t="s">
        <v>177</v>
      </c>
      <c r="N52" s="0" t="s">
        <v>178</v>
      </c>
      <c r="O52" s="0" t="s">
        <v>39</v>
      </c>
    </row>
    <row r="53" customFormat="false" ht="12.8" hidden="false" customHeight="false" outlineLevel="0" collapsed="false">
      <c r="A53" s="0" t="n">
        <v>7126</v>
      </c>
      <c r="B53" s="0" t="s">
        <v>179</v>
      </c>
      <c r="C53" s="0" t="s">
        <v>17</v>
      </c>
      <c r="D53" s="0" t="s">
        <v>97</v>
      </c>
      <c r="E53" s="0" t="n">
        <v>45</v>
      </c>
      <c r="F53" s="0" t="s">
        <v>36</v>
      </c>
      <c r="G53" s="0" t="s">
        <v>20</v>
      </c>
      <c r="H53" s="0" t="n">
        <f aca="false">IF(G53=" ALARM",1,0)</f>
        <v>1</v>
      </c>
      <c r="I53" s="0" t="s">
        <v>20</v>
      </c>
      <c r="J53" s="0" t="n">
        <f aca="false">IF(I53=" ALARM",1,0)</f>
        <v>1</v>
      </c>
      <c r="K53" s="0" t="s">
        <v>20</v>
      </c>
      <c r="L53" s="0" t="n">
        <f aca="false">IF(K53=" ALARM",1,0)</f>
        <v>1</v>
      </c>
      <c r="M53" s="0" t="s">
        <v>180</v>
      </c>
      <c r="N53" s="0" t="s">
        <v>181</v>
      </c>
      <c r="O53" s="0" t="s">
        <v>39</v>
      </c>
    </row>
    <row r="54" customFormat="false" ht="12.8" hidden="false" customHeight="false" outlineLevel="0" collapsed="false">
      <c r="A54" s="0" t="n">
        <v>7219</v>
      </c>
      <c r="B54" s="0" t="s">
        <v>182</v>
      </c>
      <c r="C54" s="0" t="s">
        <v>17</v>
      </c>
      <c r="D54" s="0" t="s">
        <v>97</v>
      </c>
      <c r="E54" s="0" t="n">
        <v>45</v>
      </c>
      <c r="F54" s="0" t="s">
        <v>52</v>
      </c>
      <c r="G54" s="0" t="s">
        <v>20</v>
      </c>
      <c r="H54" s="0" t="n">
        <f aca="false">IF(G54=" ALARM",1,0)</f>
        <v>1</v>
      </c>
      <c r="I54" s="0" t="s">
        <v>20</v>
      </c>
      <c r="J54" s="0" t="n">
        <f aca="false">IF(I54=" ALARM",1,0)</f>
        <v>1</v>
      </c>
      <c r="K54" s="0" t="s">
        <v>20</v>
      </c>
      <c r="L54" s="0" t="n">
        <f aca="false">IF(K54=" ALARM",1,0)</f>
        <v>1</v>
      </c>
      <c r="M54" s="0" t="s">
        <v>183</v>
      </c>
      <c r="N54" s="0" t="s">
        <v>184</v>
      </c>
    </row>
    <row r="55" customFormat="false" ht="12.8" hidden="false" customHeight="false" outlineLevel="0" collapsed="false">
      <c r="A55" s="0" t="n">
        <v>7222</v>
      </c>
      <c r="B55" s="0" t="s">
        <v>185</v>
      </c>
      <c r="C55" s="0" t="s">
        <v>17</v>
      </c>
      <c r="D55" s="0" t="s">
        <v>36</v>
      </c>
      <c r="E55" s="0" t="n">
        <v>45</v>
      </c>
      <c r="F55" s="0" t="s">
        <v>52</v>
      </c>
      <c r="G55" s="0" t="s">
        <v>20</v>
      </c>
      <c r="H55" s="0" t="n">
        <f aca="false">IF(G55=" ALARM",1,0)</f>
        <v>1</v>
      </c>
      <c r="I55" s="0" t="s">
        <v>20</v>
      </c>
      <c r="J55" s="0" t="n">
        <f aca="false">IF(I55=" ALARM",1,0)</f>
        <v>1</v>
      </c>
      <c r="K55" s="0" t="s">
        <v>30</v>
      </c>
      <c r="L55" s="0" t="n">
        <f aca="false">IF(K55=" ALARM",1,0)</f>
        <v>0</v>
      </c>
      <c r="M55" s="0" t="s">
        <v>186</v>
      </c>
      <c r="N55" s="0" t="s">
        <v>187</v>
      </c>
    </row>
    <row r="56" customFormat="false" ht="12.8" hidden="false" customHeight="false" outlineLevel="0" collapsed="false">
      <c r="A56" s="0" t="n">
        <v>7258</v>
      </c>
      <c r="B56" s="0" t="s">
        <v>188</v>
      </c>
      <c r="C56" s="0" t="s">
        <v>17</v>
      </c>
      <c r="D56" s="0" t="s">
        <v>35</v>
      </c>
      <c r="E56" s="0" t="n">
        <v>45</v>
      </c>
      <c r="F56" s="0" t="s">
        <v>52</v>
      </c>
      <c r="G56" s="0" t="s">
        <v>20</v>
      </c>
      <c r="H56" s="0" t="n">
        <f aca="false">IF(G56=" ALARM",1,0)</f>
        <v>1</v>
      </c>
      <c r="I56" s="0" t="s">
        <v>20</v>
      </c>
      <c r="J56" s="0" t="n">
        <f aca="false">IF(I56=" ALARM",1,0)</f>
        <v>1</v>
      </c>
      <c r="K56" s="0" t="s">
        <v>20</v>
      </c>
      <c r="L56" s="0" t="n">
        <f aca="false">IF(K56=" ALARM",1,0)</f>
        <v>1</v>
      </c>
      <c r="M56" s="0" t="s">
        <v>189</v>
      </c>
      <c r="N56" s="0" t="s">
        <v>190</v>
      </c>
    </row>
    <row r="57" customFormat="false" ht="12.8" hidden="false" customHeight="false" outlineLevel="0" collapsed="false">
      <c r="A57" s="0" t="n">
        <v>7262</v>
      </c>
      <c r="B57" s="0" t="s">
        <v>191</v>
      </c>
      <c r="C57" s="0" t="s">
        <v>17</v>
      </c>
      <c r="D57" s="0" t="s">
        <v>35</v>
      </c>
      <c r="E57" s="0" t="n">
        <v>45</v>
      </c>
      <c r="F57" s="0" t="s">
        <v>52</v>
      </c>
      <c r="G57" s="0" t="s">
        <v>20</v>
      </c>
      <c r="H57" s="0" t="n">
        <f aca="false">IF(G57=" ALARM",1,0)</f>
        <v>1</v>
      </c>
      <c r="I57" s="0" t="s">
        <v>20</v>
      </c>
      <c r="J57" s="0" t="n">
        <f aca="false">IF(I57=" ALARM",1,0)</f>
        <v>1</v>
      </c>
      <c r="K57" s="0" t="s">
        <v>20</v>
      </c>
      <c r="L57" s="0" t="n">
        <f aca="false">IF(K57=" ALARM",1,0)</f>
        <v>1</v>
      </c>
      <c r="M57" s="0" t="s">
        <v>192</v>
      </c>
      <c r="N57" s="0" t="s">
        <v>193</v>
      </c>
    </row>
    <row r="58" customFormat="false" ht="12.8" hidden="false" customHeight="false" outlineLevel="0" collapsed="false">
      <c r="A58" s="0" t="n">
        <v>7363</v>
      </c>
      <c r="B58" s="0" t="s">
        <v>194</v>
      </c>
      <c r="C58" s="0" t="s">
        <v>17</v>
      </c>
      <c r="D58" s="0" t="s">
        <v>35</v>
      </c>
      <c r="E58" s="0" t="n">
        <v>45</v>
      </c>
      <c r="F58" s="0" t="s">
        <v>52</v>
      </c>
      <c r="G58" s="0" t="s">
        <v>20</v>
      </c>
      <c r="H58" s="0" t="n">
        <f aca="false">IF(G58=" ALARM",1,0)</f>
        <v>1</v>
      </c>
      <c r="I58" s="0" t="s">
        <v>20</v>
      </c>
      <c r="J58" s="0" t="n">
        <f aca="false">IF(I58=" ALARM",1,0)</f>
        <v>1</v>
      </c>
      <c r="K58" s="0" t="s">
        <v>20</v>
      </c>
      <c r="L58" s="0" t="n">
        <f aca="false">IF(K58=" ALARM",1,0)</f>
        <v>1</v>
      </c>
      <c r="M58" s="0" t="s">
        <v>195</v>
      </c>
      <c r="N58" s="0" t="s">
        <v>196</v>
      </c>
    </row>
    <row r="59" customFormat="false" ht="12.8" hidden="false" customHeight="false" outlineLevel="0" collapsed="false">
      <c r="A59" s="0" t="n">
        <v>7434</v>
      </c>
      <c r="B59" s="0" t="s">
        <v>197</v>
      </c>
      <c r="C59" s="0" t="s">
        <v>17</v>
      </c>
      <c r="D59" s="0" t="s">
        <v>97</v>
      </c>
      <c r="E59" s="0" t="n">
        <v>45</v>
      </c>
      <c r="F59" s="0" t="s">
        <v>52</v>
      </c>
      <c r="G59" s="0" t="s">
        <v>30</v>
      </c>
      <c r="H59" s="0" t="n">
        <f aca="false">IF(G59=" ALARM",1,0)</f>
        <v>0</v>
      </c>
      <c r="I59" s="0" t="s">
        <v>20</v>
      </c>
      <c r="J59" s="0" t="n">
        <f aca="false">IF(I59=" ALARM",1,0)</f>
        <v>1</v>
      </c>
      <c r="K59" s="0" t="s">
        <v>20</v>
      </c>
      <c r="L59" s="0" t="n">
        <f aca="false">IF(K59=" ALARM",1,0)</f>
        <v>1</v>
      </c>
      <c r="M59" s="0" t="s">
        <v>198</v>
      </c>
      <c r="N59" s="0" t="s">
        <v>199</v>
      </c>
    </row>
    <row r="60" customFormat="false" ht="12.8" hidden="false" customHeight="false" outlineLevel="0" collapsed="false">
      <c r="A60" s="0" t="n">
        <v>7823</v>
      </c>
      <c r="B60" s="0" t="s">
        <v>200</v>
      </c>
      <c r="C60" s="0" t="s">
        <v>17</v>
      </c>
      <c r="D60" s="0" t="s">
        <v>35</v>
      </c>
      <c r="E60" s="0" t="n">
        <v>45</v>
      </c>
      <c r="F60" s="0" t="s">
        <v>52</v>
      </c>
      <c r="G60" s="0" t="s">
        <v>20</v>
      </c>
      <c r="H60" s="0" t="n">
        <f aca="false">IF(G60=" ALARM",1,0)</f>
        <v>1</v>
      </c>
      <c r="I60" s="0" t="s">
        <v>20</v>
      </c>
      <c r="J60" s="0" t="n">
        <f aca="false">IF(I60=" ALARM",1,0)</f>
        <v>1</v>
      </c>
      <c r="K60" s="0" t="s">
        <v>20</v>
      </c>
      <c r="L60" s="0" t="n">
        <f aca="false">IF(K60=" ALARM",1,0)</f>
        <v>1</v>
      </c>
      <c r="M60" s="0" t="s">
        <v>195</v>
      </c>
      <c r="N60" s="0" t="s">
        <v>201</v>
      </c>
    </row>
    <row r="61" customFormat="false" ht="12.8" hidden="false" customHeight="false" outlineLevel="0" collapsed="false">
      <c r="A61" s="0" t="n">
        <v>8726</v>
      </c>
      <c r="B61" s="0" t="s">
        <v>202</v>
      </c>
      <c r="C61" s="0" t="s">
        <v>17</v>
      </c>
      <c r="D61" s="0" t="s">
        <v>35</v>
      </c>
      <c r="E61" s="0" t="n">
        <v>45</v>
      </c>
      <c r="F61" s="0" t="s">
        <v>52</v>
      </c>
      <c r="G61" s="0" t="s">
        <v>20</v>
      </c>
      <c r="H61" s="0" t="n">
        <f aca="false">IF(G61=" ALARM",1,0)</f>
        <v>1</v>
      </c>
      <c r="I61" s="0" t="s">
        <v>20</v>
      </c>
      <c r="J61" s="0" t="n">
        <f aca="false">IF(I61=" ALARM",1,0)</f>
        <v>1</v>
      </c>
      <c r="K61" s="0" t="s">
        <v>30</v>
      </c>
      <c r="L61" s="0" t="n">
        <f aca="false">IF(K61=" ALARM",1,0)</f>
        <v>0</v>
      </c>
      <c r="M61" s="0" t="s">
        <v>203</v>
      </c>
      <c r="N61" s="0" t="s">
        <v>204</v>
      </c>
    </row>
    <row r="62" customFormat="false" ht="12.8" hidden="false" customHeight="false" outlineLevel="0" collapsed="false">
      <c r="A62" s="0" t="n">
        <v>8420</v>
      </c>
      <c r="B62" s="0" t="s">
        <v>205</v>
      </c>
      <c r="C62" s="0" t="s">
        <v>17</v>
      </c>
      <c r="D62" s="0" t="s">
        <v>35</v>
      </c>
      <c r="E62" s="0" t="n">
        <v>45</v>
      </c>
      <c r="F62" s="0" t="s">
        <v>52</v>
      </c>
      <c r="G62" s="0" t="s">
        <v>21</v>
      </c>
      <c r="H62" s="0" t="n">
        <f aca="false">IF(G62=" ALARM",1,0)</f>
        <v>0</v>
      </c>
      <c r="I62" s="0" t="s">
        <v>21</v>
      </c>
      <c r="J62" s="0" t="n">
        <f aca="false">IF(I62=" ALARM",1,0)</f>
        <v>0</v>
      </c>
      <c r="K62" s="0" t="s">
        <v>21</v>
      </c>
      <c r="L62" s="0" t="n">
        <f aca="false">IF(K62=" ALARM",1,0)</f>
        <v>0</v>
      </c>
      <c r="M62" s="0" t="s">
        <v>206</v>
      </c>
      <c r="N62" s="0" t="s">
        <v>206</v>
      </c>
    </row>
    <row r="63" customFormat="false" ht="12.8" hidden="false" customHeight="false" outlineLevel="0" collapsed="false">
      <c r="A63" s="0" t="n">
        <v>8738</v>
      </c>
      <c r="B63" s="0" t="s">
        <v>207</v>
      </c>
      <c r="C63" s="0" t="s">
        <v>17</v>
      </c>
      <c r="D63" s="0" t="s">
        <v>35</v>
      </c>
      <c r="E63" s="0" t="n">
        <v>45</v>
      </c>
      <c r="F63" s="0" t="s">
        <v>52</v>
      </c>
      <c r="G63" s="0" t="s">
        <v>20</v>
      </c>
      <c r="H63" s="0" t="n">
        <f aca="false">IF(G63=" ALARM",1,0)</f>
        <v>1</v>
      </c>
      <c r="I63" s="0" t="s">
        <v>20</v>
      </c>
      <c r="J63" s="0" t="n">
        <f aca="false">IF(I63=" ALARM",1,0)</f>
        <v>1</v>
      </c>
      <c r="K63" s="0" t="s">
        <v>20</v>
      </c>
      <c r="L63" s="0" t="n">
        <f aca="false">IF(K63=" ALARM",1,0)</f>
        <v>1</v>
      </c>
      <c r="M63" s="0" t="s">
        <v>208</v>
      </c>
      <c r="N63" s="0" t="s">
        <v>209</v>
      </c>
    </row>
    <row r="64" customFormat="false" ht="12.8" hidden="false" customHeight="false" outlineLevel="0" collapsed="false">
      <c r="A64" s="0" t="n">
        <v>8875</v>
      </c>
      <c r="B64" s="0" t="s">
        <v>210</v>
      </c>
      <c r="C64" s="0" t="s">
        <v>17</v>
      </c>
      <c r="D64" s="0" t="s">
        <v>35</v>
      </c>
      <c r="E64" s="0" t="n">
        <v>45</v>
      </c>
      <c r="F64" s="0" t="s">
        <v>52</v>
      </c>
      <c r="G64" s="0" t="s">
        <v>20</v>
      </c>
      <c r="H64" s="0" t="n">
        <f aca="false">IF(G64=" ALARM",1,0)</f>
        <v>1</v>
      </c>
      <c r="I64" s="0" t="s">
        <v>20</v>
      </c>
      <c r="J64" s="0" t="n">
        <f aca="false">IF(I64=" ALARM",1,0)</f>
        <v>1</v>
      </c>
      <c r="K64" s="0" t="s">
        <v>20</v>
      </c>
      <c r="L64" s="0" t="n">
        <f aca="false">IF(K64=" ALARM",1,0)</f>
        <v>1</v>
      </c>
      <c r="M64" s="0" t="s">
        <v>211</v>
      </c>
      <c r="N64" s="0" t="s">
        <v>212</v>
      </c>
    </row>
    <row r="65" customFormat="false" ht="12.8" hidden="false" customHeight="false" outlineLevel="0" collapsed="false">
      <c r="A65" s="0" t="n">
        <v>8960</v>
      </c>
      <c r="B65" s="0" t="s">
        <v>213</v>
      </c>
      <c r="C65" s="0" t="s">
        <v>17</v>
      </c>
      <c r="D65" s="0" t="s">
        <v>97</v>
      </c>
      <c r="E65" s="0" t="n">
        <v>45</v>
      </c>
      <c r="F65" s="0" t="s">
        <v>52</v>
      </c>
      <c r="G65" s="0" t="s">
        <v>21</v>
      </c>
      <c r="H65" s="0" t="n">
        <f aca="false">IF(G65=" ALARM",1,0)</f>
        <v>0</v>
      </c>
      <c r="I65" s="0" t="s">
        <v>21</v>
      </c>
      <c r="J65" s="0" t="n">
        <f aca="false">IF(I65=" ALARM",1,0)</f>
        <v>0</v>
      </c>
      <c r="K65" s="0" t="s">
        <v>30</v>
      </c>
      <c r="L65" s="0" t="n">
        <f aca="false">IF(K65=" ALARM",1,0)</f>
        <v>0</v>
      </c>
      <c r="M65" s="0" t="s">
        <v>119</v>
      </c>
      <c r="N65" s="0" t="s">
        <v>119</v>
      </c>
    </row>
    <row r="66" customFormat="false" ht="12.8" hidden="false" customHeight="false" outlineLevel="0" collapsed="false">
      <c r="A66" s="0" t="n">
        <v>8970</v>
      </c>
      <c r="B66" s="0" t="s">
        <v>214</v>
      </c>
      <c r="C66" s="0" t="s">
        <v>17</v>
      </c>
      <c r="D66" s="0" t="s">
        <v>35</v>
      </c>
      <c r="E66" s="0" t="n">
        <v>45</v>
      </c>
      <c r="F66" s="0" t="s">
        <v>52</v>
      </c>
      <c r="G66" s="0" t="s">
        <v>20</v>
      </c>
      <c r="H66" s="0" t="n">
        <f aca="false">IF(G66=" ALARM",1,0)</f>
        <v>1</v>
      </c>
      <c r="I66" s="0" t="s">
        <v>20</v>
      </c>
      <c r="J66" s="0" t="n">
        <f aca="false">IF(I66=" ALARM",1,0)</f>
        <v>1</v>
      </c>
      <c r="K66" s="0" t="s">
        <v>20</v>
      </c>
      <c r="L66" s="0" t="n">
        <f aca="false">IF(K66=" ALARM",1,0)</f>
        <v>1</v>
      </c>
      <c r="M66" s="0" t="s">
        <v>215</v>
      </c>
      <c r="N66" s="0" t="s">
        <v>216</v>
      </c>
    </row>
    <row r="67" customFormat="false" ht="12.8" hidden="false" customHeight="false" outlineLevel="0" collapsed="false">
      <c r="A67" s="0" t="n">
        <v>8998</v>
      </c>
      <c r="B67" s="0" t="s">
        <v>217</v>
      </c>
      <c r="C67" s="0" t="s">
        <v>17</v>
      </c>
      <c r="D67" s="0" t="s">
        <v>97</v>
      </c>
      <c r="E67" s="0" t="n">
        <v>45</v>
      </c>
      <c r="F67" s="0" t="s">
        <v>52</v>
      </c>
      <c r="G67" s="0" t="s">
        <v>21</v>
      </c>
      <c r="H67" s="0" t="n">
        <f aca="false">IF(G67=" ALARM",1,0)</f>
        <v>0</v>
      </c>
      <c r="I67" s="0" t="s">
        <v>20</v>
      </c>
      <c r="J67" s="0" t="n">
        <f aca="false">IF(I67=" ALARM",1,0)</f>
        <v>1</v>
      </c>
      <c r="K67" s="0" t="s">
        <v>20</v>
      </c>
      <c r="L67" s="0" t="n">
        <f aca="false">IF(K67=" ALARM",1,0)</f>
        <v>1</v>
      </c>
      <c r="M67" s="0" t="s">
        <v>218</v>
      </c>
      <c r="N67" s="0" t="s">
        <v>219</v>
      </c>
    </row>
    <row r="68" customFormat="false" ht="12.8" hidden="false" customHeight="false" outlineLevel="0" collapsed="false">
      <c r="A68" s="0" t="n">
        <v>9005</v>
      </c>
      <c r="B68" s="0" t="s">
        <v>220</v>
      </c>
      <c r="C68" s="0" t="s">
        <v>17</v>
      </c>
      <c r="D68" s="0" t="s">
        <v>35</v>
      </c>
      <c r="E68" s="0" t="n">
        <v>45</v>
      </c>
      <c r="F68" s="0" t="s">
        <v>52</v>
      </c>
      <c r="G68" s="0" t="s">
        <v>21</v>
      </c>
      <c r="H68" s="0" t="n">
        <f aca="false">IF(G68=" ALARM",1,0)</f>
        <v>0</v>
      </c>
      <c r="I68" s="0" t="s">
        <v>21</v>
      </c>
      <c r="J68" s="0" t="n">
        <f aca="false">IF(I68=" ALARM",1,0)</f>
        <v>0</v>
      </c>
      <c r="K68" s="0" t="s">
        <v>20</v>
      </c>
      <c r="L68" s="0" t="n">
        <f aca="false">IF(K68=" ALARM",1,0)</f>
        <v>1</v>
      </c>
      <c r="M68" s="0" t="s">
        <v>221</v>
      </c>
      <c r="N68" s="0" t="s">
        <v>221</v>
      </c>
    </row>
    <row r="69" customFormat="false" ht="12.8" hidden="false" customHeight="false" outlineLevel="0" collapsed="false">
      <c r="A69" s="0" t="n">
        <v>9401</v>
      </c>
      <c r="B69" s="0" t="s">
        <v>222</v>
      </c>
      <c r="C69" s="0" t="s">
        <v>17</v>
      </c>
      <c r="D69" s="0" t="s">
        <v>35</v>
      </c>
      <c r="E69" s="0" t="n">
        <v>45</v>
      </c>
      <c r="F69" s="0" t="s">
        <v>52</v>
      </c>
      <c r="G69" s="0" t="s">
        <v>20</v>
      </c>
      <c r="H69" s="0" t="n">
        <f aca="false">IF(G69=" ALARM",1,0)</f>
        <v>1</v>
      </c>
      <c r="I69" s="0" t="s">
        <v>20</v>
      </c>
      <c r="J69" s="0" t="n">
        <f aca="false">IF(I69=" ALARM",1,0)</f>
        <v>1</v>
      </c>
      <c r="K69" s="0" t="s">
        <v>20</v>
      </c>
      <c r="L69" s="0" t="n">
        <f aca="false">IF(K69=" ALARM",1,0)</f>
        <v>1</v>
      </c>
      <c r="M69" s="0" t="s">
        <v>223</v>
      </c>
      <c r="N69" s="0" t="s">
        <v>224</v>
      </c>
    </row>
    <row r="70" customFormat="false" ht="12.8" hidden="false" customHeight="false" outlineLevel="0" collapsed="false">
      <c r="A70" s="0" t="n">
        <v>9470</v>
      </c>
      <c r="B70" s="0" t="s">
        <v>225</v>
      </c>
      <c r="C70" s="0" t="s">
        <v>17</v>
      </c>
      <c r="D70" s="0" t="s">
        <v>35</v>
      </c>
      <c r="E70" s="0" t="n">
        <v>45</v>
      </c>
      <c r="F70" s="0" t="s">
        <v>52</v>
      </c>
      <c r="G70" s="0" t="s">
        <v>20</v>
      </c>
      <c r="H70" s="0" t="n">
        <f aca="false">IF(G70=" ALARM",1,0)</f>
        <v>1</v>
      </c>
      <c r="I70" s="0" t="s">
        <v>20</v>
      </c>
      <c r="J70" s="0" t="n">
        <f aca="false">IF(I70=" ALARM",1,0)</f>
        <v>1</v>
      </c>
      <c r="K70" s="0" t="s">
        <v>20</v>
      </c>
      <c r="L70" s="0" t="n">
        <f aca="false">IF(K70=" ALARM",1,0)</f>
        <v>1</v>
      </c>
      <c r="M70" s="0" t="s">
        <v>226</v>
      </c>
      <c r="N70" s="0" t="s">
        <v>227</v>
      </c>
    </row>
    <row r="71" customFormat="false" ht="12.8" hidden="false" customHeight="false" outlineLevel="0" collapsed="false">
      <c r="A71" s="0" t="n">
        <v>9475</v>
      </c>
      <c r="B71" s="0" t="s">
        <v>228</v>
      </c>
      <c r="C71" s="0" t="s">
        <v>17</v>
      </c>
      <c r="D71" s="0" t="s">
        <v>36</v>
      </c>
      <c r="E71" s="0" t="n">
        <v>45</v>
      </c>
      <c r="F71" s="0" t="s">
        <v>52</v>
      </c>
      <c r="G71" s="0" t="s">
        <v>21</v>
      </c>
      <c r="H71" s="0" t="n">
        <f aca="false">IF(G71=" ALARM",1,0)</f>
        <v>0</v>
      </c>
      <c r="I71" s="0" t="s">
        <v>21</v>
      </c>
      <c r="J71" s="0" t="n">
        <f aca="false">IF(I71=" ALARM",1,0)</f>
        <v>0</v>
      </c>
      <c r="K71" s="0" t="s">
        <v>20</v>
      </c>
      <c r="L71" s="0" t="n">
        <f aca="false">IF(K71=" ALARM",1,0)</f>
        <v>1</v>
      </c>
      <c r="M71" s="0" t="s">
        <v>218</v>
      </c>
      <c r="N71" s="0" t="s">
        <v>218</v>
      </c>
    </row>
    <row r="72" customFormat="false" ht="12.8" hidden="false" customHeight="false" outlineLevel="0" collapsed="false">
      <c r="A72" s="0" t="n">
        <v>12206</v>
      </c>
      <c r="B72" s="0" t="s">
        <v>229</v>
      </c>
      <c r="C72" s="0" t="s">
        <v>17</v>
      </c>
      <c r="D72" s="0" t="s">
        <v>36</v>
      </c>
      <c r="E72" s="0" t="n">
        <v>45</v>
      </c>
      <c r="F72" s="0" t="s">
        <v>52</v>
      </c>
      <c r="G72" s="0" t="s">
        <v>30</v>
      </c>
      <c r="H72" s="0" t="n">
        <f aca="false">IF(G72=" ALARM",1,0)</f>
        <v>0</v>
      </c>
      <c r="I72" s="0" t="s">
        <v>20</v>
      </c>
      <c r="J72" s="0" t="n">
        <f aca="false">IF(I72=" ALARM",1,0)</f>
        <v>1</v>
      </c>
      <c r="K72" s="0" t="s">
        <v>20</v>
      </c>
      <c r="L72" s="0" t="n">
        <f aca="false">IF(K72=" ALARM",1,0)</f>
        <v>1</v>
      </c>
      <c r="M72" s="0" t="s">
        <v>230</v>
      </c>
      <c r="N72" s="0" t="s">
        <v>231</v>
      </c>
    </row>
    <row r="73" customFormat="false" ht="12.8" hidden="false" customHeight="false" outlineLevel="0" collapsed="false">
      <c r="A73" s="0" t="n">
        <v>12214</v>
      </c>
      <c r="B73" s="0" t="s">
        <v>232</v>
      </c>
      <c r="C73" s="0" t="s">
        <v>17</v>
      </c>
      <c r="D73" s="0" t="s">
        <v>97</v>
      </c>
      <c r="E73" s="0" t="n">
        <v>45</v>
      </c>
      <c r="F73" s="0" t="s">
        <v>52</v>
      </c>
      <c r="G73" s="0" t="s">
        <v>20</v>
      </c>
      <c r="H73" s="0" t="n">
        <f aca="false">IF(G73=" ALARM",1,0)</f>
        <v>1</v>
      </c>
      <c r="I73" s="0" t="s">
        <v>20</v>
      </c>
      <c r="J73" s="0" t="n">
        <f aca="false">IF(I73=" ALARM",1,0)</f>
        <v>1</v>
      </c>
      <c r="K73" s="0" t="s">
        <v>20</v>
      </c>
      <c r="L73" s="0" t="n">
        <f aca="false">IF(K73=" ALARM",1,0)</f>
        <v>1</v>
      </c>
      <c r="M73" s="0" t="s">
        <v>233</v>
      </c>
      <c r="N73" s="0" t="s">
        <v>234</v>
      </c>
    </row>
    <row r="74" customFormat="false" ht="12.8" hidden="false" customHeight="false" outlineLevel="0" collapsed="false">
      <c r="A74" s="0" t="n">
        <v>14159</v>
      </c>
      <c r="B74" s="0" t="s">
        <v>235</v>
      </c>
      <c r="C74" s="0" t="s">
        <v>17</v>
      </c>
      <c r="D74" s="0" t="s">
        <v>35</v>
      </c>
      <c r="E74" s="0" t="n">
        <v>45</v>
      </c>
      <c r="F74" s="0" t="s">
        <v>52</v>
      </c>
      <c r="G74" s="0" t="s">
        <v>20</v>
      </c>
      <c r="H74" s="0" t="n">
        <f aca="false">IF(G74=" ALARM",1,0)</f>
        <v>1</v>
      </c>
      <c r="I74" s="0" t="s">
        <v>20</v>
      </c>
      <c r="J74" s="0" t="n">
        <f aca="false">IF(I74=" ALARM",1,0)</f>
        <v>1</v>
      </c>
      <c r="K74" s="0" t="s">
        <v>20</v>
      </c>
      <c r="L74" s="0" t="n">
        <f aca="false">IF(K74=" ALARM",1,0)</f>
        <v>1</v>
      </c>
      <c r="M74" s="0" t="s">
        <v>236</v>
      </c>
      <c r="N74" s="0" t="s">
        <v>237</v>
      </c>
    </row>
    <row r="75" customFormat="false" ht="12.8" hidden="false" customHeight="false" outlineLevel="0" collapsed="false">
      <c r="A75" s="0" t="n">
        <v>15230</v>
      </c>
      <c r="B75" s="0" t="s">
        <v>238</v>
      </c>
      <c r="C75" s="0" t="s">
        <v>17</v>
      </c>
      <c r="D75" s="0" t="s">
        <v>97</v>
      </c>
      <c r="E75" s="0" t="n">
        <v>45</v>
      </c>
      <c r="F75" s="0" t="s">
        <v>52</v>
      </c>
      <c r="G75" s="0" t="s">
        <v>20</v>
      </c>
      <c r="H75" s="0" t="n">
        <f aca="false">IF(G75=" ALARM",1,0)</f>
        <v>1</v>
      </c>
      <c r="I75" s="0" t="s">
        <v>20</v>
      </c>
      <c r="J75" s="0" t="n">
        <f aca="false">IF(I75=" ALARM",1,0)</f>
        <v>1</v>
      </c>
      <c r="K75" s="0" t="s">
        <v>20</v>
      </c>
      <c r="L75" s="0" t="n">
        <f aca="false">IF(K75=" ALARM",1,0)</f>
        <v>1</v>
      </c>
      <c r="M75" s="0" t="s">
        <v>239</v>
      </c>
      <c r="N75" s="0" t="s">
        <v>240</v>
      </c>
    </row>
    <row r="76" customFormat="false" ht="12.8" hidden="false" customHeight="false" outlineLevel="0" collapsed="false">
      <c r="A76" s="0" t="n">
        <v>5596</v>
      </c>
      <c r="B76" s="0" t="s">
        <v>241</v>
      </c>
      <c r="C76" s="0" t="s">
        <v>17</v>
      </c>
      <c r="D76" s="0" t="s">
        <v>18</v>
      </c>
      <c r="E76" s="0" t="n">
        <v>55</v>
      </c>
      <c r="F76" s="0" t="s">
        <v>36</v>
      </c>
      <c r="G76" s="0" t="s">
        <v>20</v>
      </c>
      <c r="H76" s="0" t="n">
        <f aca="false">IF(G76=" ALARM",1,0)</f>
        <v>1</v>
      </c>
      <c r="I76" s="0" t="s">
        <v>20</v>
      </c>
      <c r="J76" s="0" t="n">
        <f aca="false">IF(I76=" ALARM",1,0)</f>
        <v>1</v>
      </c>
      <c r="K76" s="0" t="s">
        <v>30</v>
      </c>
      <c r="L76" s="0" t="n">
        <f aca="false">IF(K76=" ALARM",1,0)</f>
        <v>0</v>
      </c>
      <c r="M76" s="0" t="s">
        <v>242</v>
      </c>
      <c r="N76" s="0" t="s">
        <v>243</v>
      </c>
      <c r="O76" s="0" t="s">
        <v>244</v>
      </c>
    </row>
    <row r="77" customFormat="false" ht="12.8" hidden="false" customHeight="false" outlineLevel="0" collapsed="false">
      <c r="A77" s="0" t="n">
        <v>5595</v>
      </c>
      <c r="B77" s="0" t="s">
        <v>245</v>
      </c>
      <c r="C77" s="0" t="s">
        <v>17</v>
      </c>
      <c r="D77" s="0" t="s">
        <v>18</v>
      </c>
      <c r="E77" s="0" t="n">
        <v>55</v>
      </c>
      <c r="F77" s="0" t="s">
        <v>36</v>
      </c>
      <c r="G77" s="0" t="s">
        <v>20</v>
      </c>
      <c r="H77" s="0" t="n">
        <f aca="false">IF(G77=" ALARM",1,0)</f>
        <v>1</v>
      </c>
      <c r="I77" s="0" t="s">
        <v>20</v>
      </c>
      <c r="J77" s="0" t="n">
        <f aca="false">IF(I77=" ALARM",1,0)</f>
        <v>1</v>
      </c>
      <c r="K77" s="0" t="s">
        <v>30</v>
      </c>
      <c r="L77" s="0" t="n">
        <f aca="false">IF(K77=" ALARM",1,0)</f>
        <v>0</v>
      </c>
      <c r="M77" s="0" t="s">
        <v>246</v>
      </c>
      <c r="N77" s="0" t="s">
        <v>247</v>
      </c>
      <c r="O77" s="0" t="s">
        <v>244</v>
      </c>
    </row>
    <row r="78" customFormat="false" ht="12.8" hidden="false" customHeight="false" outlineLevel="0" collapsed="false">
      <c r="A78" s="0" t="n">
        <v>7357</v>
      </c>
      <c r="B78" s="0" t="s">
        <v>248</v>
      </c>
      <c r="C78" s="0" t="s">
        <v>17</v>
      </c>
      <c r="D78" s="0" t="s">
        <v>18</v>
      </c>
      <c r="E78" s="0" t="n">
        <v>62</v>
      </c>
      <c r="F78" s="0" t="s">
        <v>52</v>
      </c>
      <c r="G78" s="0" t="s">
        <v>21</v>
      </c>
      <c r="H78" s="0" t="n">
        <f aca="false">IF(G78=" ALARM",1,0)</f>
        <v>0</v>
      </c>
      <c r="I78" s="0" t="s">
        <v>21</v>
      </c>
      <c r="J78" s="0" t="n">
        <f aca="false">IF(I78=" ALARM",1,0)</f>
        <v>0</v>
      </c>
      <c r="K78" s="0" t="s">
        <v>21</v>
      </c>
      <c r="L78" s="0" t="n">
        <f aca="false">IF(K78=" ALARM",1,0)</f>
        <v>0</v>
      </c>
      <c r="M78" s="0" t="s">
        <v>249</v>
      </c>
      <c r="N78" s="0" t="s">
        <v>249</v>
      </c>
    </row>
    <row r="79" customFormat="false" ht="12.8" hidden="false" customHeight="false" outlineLevel="0" collapsed="false">
      <c r="A79" s="0" t="n">
        <v>8661</v>
      </c>
      <c r="B79" s="0" t="s">
        <v>250</v>
      </c>
      <c r="C79" s="0" t="s">
        <v>17</v>
      </c>
      <c r="D79" s="0" t="s">
        <v>35</v>
      </c>
      <c r="E79" s="0" t="n">
        <v>83</v>
      </c>
      <c r="F79" s="0" t="s">
        <v>52</v>
      </c>
      <c r="G79" s="0" t="s">
        <v>20</v>
      </c>
      <c r="H79" s="0" t="n">
        <f aca="false">IF(G79=" ALARM",1,0)</f>
        <v>1</v>
      </c>
      <c r="I79" s="0" t="s">
        <v>20</v>
      </c>
      <c r="J79" s="0" t="n">
        <f aca="false">IF(I79=" ALARM",1,0)</f>
        <v>1</v>
      </c>
      <c r="K79" s="0" t="s">
        <v>20</v>
      </c>
      <c r="L79" s="0" t="n">
        <f aca="false">IF(K79=" ALARM",1,0)</f>
        <v>1</v>
      </c>
      <c r="M79" s="0" t="s">
        <v>251</v>
      </c>
      <c r="N79" s="0" t="s">
        <v>252</v>
      </c>
      <c r="O79" s="0" t="s">
        <v>253</v>
      </c>
    </row>
    <row r="80" customFormat="false" ht="12.8" hidden="false" customHeight="false" outlineLevel="0" collapsed="false">
      <c r="A80" s="0" t="n">
        <v>9627</v>
      </c>
      <c r="B80" s="0" t="s">
        <v>254</v>
      </c>
      <c r="C80" s="0" t="s">
        <v>17</v>
      </c>
      <c r="D80" s="0" t="s">
        <v>36</v>
      </c>
      <c r="E80" s="0" t="n">
        <v>83</v>
      </c>
      <c r="F80" s="0" t="s">
        <v>52</v>
      </c>
      <c r="G80" s="0" t="s">
        <v>20</v>
      </c>
      <c r="H80" s="0" t="n">
        <f aca="false">IF(G80=" ALARM",1,0)</f>
        <v>1</v>
      </c>
      <c r="I80" s="0" t="s">
        <v>20</v>
      </c>
      <c r="J80" s="0" t="n">
        <f aca="false">IF(I80=" ALARM",1,0)</f>
        <v>1</v>
      </c>
      <c r="K80" s="0" t="s">
        <v>20</v>
      </c>
      <c r="L80" s="0" t="n">
        <f aca="false">IF(K80=" ALARM",1,0)</f>
        <v>1</v>
      </c>
      <c r="M80" s="0" t="s">
        <v>255</v>
      </c>
      <c r="N80" s="0" t="s">
        <v>256</v>
      </c>
      <c r="O80" s="0" t="s">
        <v>257</v>
      </c>
    </row>
    <row r="81" customFormat="false" ht="12.8" hidden="false" customHeight="false" outlineLevel="0" collapsed="false">
      <c r="A81" s="0" t="n">
        <v>12618</v>
      </c>
      <c r="B81" s="0" t="s">
        <v>258</v>
      </c>
      <c r="C81" s="0" t="s">
        <v>17</v>
      </c>
      <c r="D81" s="0" t="s">
        <v>35</v>
      </c>
      <c r="E81" s="0" t="n">
        <v>83</v>
      </c>
      <c r="F81" s="0" t="s">
        <v>52</v>
      </c>
      <c r="G81" s="0" t="s">
        <v>20</v>
      </c>
      <c r="H81" s="0" t="n">
        <f aca="false">IF(G81=" ALARM",1,0)</f>
        <v>1</v>
      </c>
      <c r="I81" s="0" t="s">
        <v>20</v>
      </c>
      <c r="J81" s="0" t="n">
        <f aca="false">IF(I81=" ALARM",1,0)</f>
        <v>1</v>
      </c>
      <c r="K81" s="0" t="s">
        <v>20</v>
      </c>
      <c r="L81" s="0" t="n">
        <f aca="false">IF(K81=" ALARM",1,0)</f>
        <v>1</v>
      </c>
      <c r="M81" s="0" t="s">
        <v>259</v>
      </c>
      <c r="N81" s="0" t="s">
        <v>260</v>
      </c>
      <c r="O81" s="0" t="s">
        <v>257</v>
      </c>
    </row>
    <row r="82" customFormat="false" ht="12.8" hidden="false" customHeight="false" outlineLevel="0" collapsed="false">
      <c r="A82" s="0" t="n">
        <v>12629</v>
      </c>
      <c r="B82" s="0" t="s">
        <v>261</v>
      </c>
      <c r="C82" s="0" t="s">
        <v>17</v>
      </c>
      <c r="D82" s="0" t="s">
        <v>35</v>
      </c>
      <c r="E82" s="0" t="n">
        <v>83</v>
      </c>
      <c r="F82" s="0" t="s">
        <v>52</v>
      </c>
      <c r="G82" s="0" t="s">
        <v>20</v>
      </c>
      <c r="H82" s="0" t="n">
        <f aca="false">IF(G82=" ALARM",1,0)</f>
        <v>1</v>
      </c>
      <c r="I82" s="0" t="s">
        <v>20</v>
      </c>
      <c r="J82" s="0" t="n">
        <f aca="false">IF(I82=" ALARM",1,0)</f>
        <v>1</v>
      </c>
      <c r="K82" s="0" t="s">
        <v>20</v>
      </c>
      <c r="L82" s="0" t="n">
        <f aca="false">IF(K82=" ALARM",1,0)</f>
        <v>1</v>
      </c>
      <c r="M82" s="0" t="s">
        <v>262</v>
      </c>
      <c r="N82" s="0" t="s">
        <v>263</v>
      </c>
      <c r="O82" s="0" t="s">
        <v>264</v>
      </c>
    </row>
    <row r="83" customFormat="false" ht="12.8" hidden="false" customHeight="false" outlineLevel="0" collapsed="false">
      <c r="A83" s="0" t="n">
        <v>15039</v>
      </c>
      <c r="B83" s="0" t="s">
        <v>265</v>
      </c>
      <c r="C83" s="0" t="s">
        <v>17</v>
      </c>
      <c r="D83" s="0" t="s">
        <v>35</v>
      </c>
      <c r="E83" s="0" t="n">
        <v>83</v>
      </c>
      <c r="F83" s="0" t="s">
        <v>52</v>
      </c>
      <c r="G83" s="0" t="s">
        <v>20</v>
      </c>
      <c r="H83" s="0" t="n">
        <f aca="false">IF(G83=" ALARM",1,0)</f>
        <v>1</v>
      </c>
      <c r="I83" s="0" t="s">
        <v>20</v>
      </c>
      <c r="J83" s="0" t="n">
        <f aca="false">IF(I83=" ALARM",1,0)</f>
        <v>1</v>
      </c>
      <c r="K83" s="0" t="s">
        <v>30</v>
      </c>
      <c r="L83" s="0" t="n">
        <f aca="false">IF(K83=" ALARM",1,0)</f>
        <v>0</v>
      </c>
      <c r="M83" s="0" t="s">
        <v>266</v>
      </c>
      <c r="N83" s="0" t="s">
        <v>267</v>
      </c>
      <c r="O83" s="0" t="s">
        <v>257</v>
      </c>
    </row>
    <row r="84" customFormat="false" ht="12.8" hidden="false" customHeight="false" outlineLevel="0" collapsed="false">
      <c r="A84" s="0" t="n">
        <v>15417</v>
      </c>
      <c r="B84" s="0" t="s">
        <v>268</v>
      </c>
      <c r="C84" s="0" t="s">
        <v>17</v>
      </c>
      <c r="D84" s="0" t="s">
        <v>35</v>
      </c>
      <c r="E84" s="0" t="n">
        <v>157</v>
      </c>
      <c r="F84" s="0" t="s">
        <v>52</v>
      </c>
      <c r="G84" s="0" t="s">
        <v>30</v>
      </c>
      <c r="H84" s="0" t="n">
        <f aca="false">IF(G84=" ALARM",1,0)</f>
        <v>0</v>
      </c>
      <c r="I84" s="0" t="s">
        <v>20</v>
      </c>
      <c r="J84" s="0" t="n">
        <f aca="false">IF(I84=" ALARM",1,0)</f>
        <v>1</v>
      </c>
      <c r="K84" s="0" t="s">
        <v>21</v>
      </c>
      <c r="L84" s="0" t="n">
        <f aca="false">IF(K84=" ALARM",1,0)</f>
        <v>0</v>
      </c>
      <c r="M84" s="0" t="s">
        <v>269</v>
      </c>
      <c r="N84" s="0" t="s">
        <v>270</v>
      </c>
      <c r="O84" s="0" t="s">
        <v>271</v>
      </c>
    </row>
    <row r="85" customFormat="false" ht="12.8" hidden="false" customHeight="false" outlineLevel="0" collapsed="false">
      <c r="A85" s="0" t="n">
        <v>21458</v>
      </c>
      <c r="B85" s="0" t="s">
        <v>272</v>
      </c>
      <c r="C85" s="0" t="s">
        <v>17</v>
      </c>
      <c r="D85" s="0" t="s">
        <v>18</v>
      </c>
      <c r="E85" s="0" t="n">
        <v>39</v>
      </c>
      <c r="F85" s="0" t="s">
        <v>52</v>
      </c>
      <c r="G85" s="0" t="s">
        <v>20</v>
      </c>
      <c r="H85" s="0" t="n">
        <f aca="false">IF(G85=" ALARM",1,0)</f>
        <v>1</v>
      </c>
      <c r="I85" s="0" t="s">
        <v>20</v>
      </c>
      <c r="J85" s="0" t="n">
        <f aca="false">IF(I85=" ALARM",1,0)</f>
        <v>1</v>
      </c>
      <c r="K85" s="0" t="s">
        <v>21</v>
      </c>
      <c r="L85" s="0" t="n">
        <f aca="false">IF(K85=" ALARM",1,0)</f>
        <v>0</v>
      </c>
      <c r="M85" s="0" t="s">
        <v>273</v>
      </c>
      <c r="N85" s="0" t="s">
        <v>274</v>
      </c>
      <c r="O85" s="0" t="s">
        <v>275</v>
      </c>
    </row>
    <row r="86" customFormat="false" ht="12.8" hidden="false" customHeight="false" outlineLevel="0" collapsed="false">
      <c r="A86" s="0" t="n">
        <v>21561</v>
      </c>
      <c r="B86" s="0" t="s">
        <v>276</v>
      </c>
      <c r="C86" s="0" t="s">
        <v>17</v>
      </c>
      <c r="D86" s="0" t="s">
        <v>18</v>
      </c>
      <c r="E86" s="0" t="n">
        <v>39</v>
      </c>
      <c r="F86" s="0" t="s">
        <v>52</v>
      </c>
      <c r="G86" s="0" t="s">
        <v>20</v>
      </c>
      <c r="H86" s="0" t="n">
        <f aca="false">IF(G86=" ALARM",1,0)</f>
        <v>1</v>
      </c>
      <c r="I86" s="0" t="s">
        <v>20</v>
      </c>
      <c r="J86" s="0" t="n">
        <f aca="false">IF(I86=" ALARM",1,0)</f>
        <v>1</v>
      </c>
      <c r="K86" s="0" t="s">
        <v>20</v>
      </c>
      <c r="L86" s="0" t="n">
        <f aca="false">IF(K86=" ALARM",1,0)</f>
        <v>1</v>
      </c>
      <c r="M86" s="0" t="s">
        <v>277</v>
      </c>
      <c r="N86" s="0" t="s">
        <v>278</v>
      </c>
      <c r="O86" s="0" t="s">
        <v>279</v>
      </c>
    </row>
    <row r="87" customFormat="false" ht="12.8" hidden="false" customHeight="false" outlineLevel="0" collapsed="false">
      <c r="A87" s="0" t="n">
        <v>21569</v>
      </c>
      <c r="B87" s="0" t="s">
        <v>280</v>
      </c>
      <c r="C87" s="0" t="s">
        <v>17</v>
      </c>
      <c r="D87" s="0" t="s">
        <v>18</v>
      </c>
      <c r="E87" s="0" t="n">
        <v>39</v>
      </c>
      <c r="F87" s="0" t="s">
        <v>52</v>
      </c>
      <c r="G87" s="0" t="s">
        <v>20</v>
      </c>
      <c r="H87" s="0" t="n">
        <f aca="false">IF(G87=" ALARM",1,0)</f>
        <v>1</v>
      </c>
      <c r="I87" s="0" t="s">
        <v>20</v>
      </c>
      <c r="J87" s="0" t="n">
        <f aca="false">IF(I87=" ALARM",1,0)</f>
        <v>1</v>
      </c>
      <c r="K87" s="0" t="s">
        <v>20</v>
      </c>
      <c r="L87" s="0" t="n">
        <f aca="false">IF(K87=" ALARM",1,0)</f>
        <v>1</v>
      </c>
      <c r="M87" s="0" t="s">
        <v>281</v>
      </c>
      <c r="N87" s="0" t="s">
        <v>282</v>
      </c>
      <c r="O87" s="0" t="s">
        <v>279</v>
      </c>
    </row>
    <row r="88" customFormat="false" ht="12.8" hidden="false" customHeight="false" outlineLevel="0" collapsed="false">
      <c r="A88" s="0" t="n">
        <v>24380</v>
      </c>
      <c r="B88" s="0" t="s">
        <v>283</v>
      </c>
      <c r="C88" s="0" t="s">
        <v>17</v>
      </c>
      <c r="D88" s="0" t="s">
        <v>35</v>
      </c>
      <c r="E88" s="0" t="n">
        <v>8</v>
      </c>
      <c r="F88" s="0" t="s">
        <v>52</v>
      </c>
      <c r="G88" s="0" t="s">
        <v>20</v>
      </c>
      <c r="H88" s="0" t="n">
        <f aca="false">IF(G88=" ALARM",1,0)</f>
        <v>1</v>
      </c>
      <c r="I88" s="0" t="s">
        <v>20</v>
      </c>
      <c r="J88" s="0" t="n">
        <f aca="false">IF(I88=" ALARM",1,0)</f>
        <v>1</v>
      </c>
      <c r="K88" s="0" t="s">
        <v>20</v>
      </c>
      <c r="L88" s="0" t="n">
        <f aca="false">IF(K88=" ALARM",1,0)</f>
        <v>1</v>
      </c>
      <c r="M88" s="0" t="s">
        <v>284</v>
      </c>
      <c r="N88" s="0" t="s">
        <v>285</v>
      </c>
    </row>
    <row r="89" customFormat="false" ht="12.8" hidden="false" customHeight="false" outlineLevel="0" collapsed="false">
      <c r="A89" s="0" t="n">
        <v>26071</v>
      </c>
      <c r="B89" s="0" t="s">
        <v>286</v>
      </c>
      <c r="C89" s="0" t="s">
        <v>17</v>
      </c>
      <c r="D89" s="0" t="s">
        <v>97</v>
      </c>
      <c r="E89" s="0" t="n">
        <v>8</v>
      </c>
      <c r="F89" s="0" t="s">
        <v>52</v>
      </c>
      <c r="G89" s="0" t="s">
        <v>20</v>
      </c>
      <c r="H89" s="0" t="n">
        <f aca="false">IF(G89=" ALARM",1,0)</f>
        <v>1</v>
      </c>
      <c r="I89" s="0" t="s">
        <v>20</v>
      </c>
      <c r="J89" s="0" t="n">
        <f aca="false">IF(I89=" ALARM",1,0)</f>
        <v>1</v>
      </c>
      <c r="K89" s="0" t="s">
        <v>20</v>
      </c>
      <c r="L89" s="0" t="n">
        <f aca="false">IF(K89=" ALARM",1,0)</f>
        <v>1</v>
      </c>
      <c r="M89" s="0" t="s">
        <v>287</v>
      </c>
      <c r="N89" s="0" t="s">
        <v>288</v>
      </c>
    </row>
    <row r="90" customFormat="false" ht="12.8" hidden="false" customHeight="false" outlineLevel="0" collapsed="false">
      <c r="A90" s="0" t="n">
        <v>26077</v>
      </c>
      <c r="B90" s="0" t="s">
        <v>289</v>
      </c>
      <c r="C90" s="0" t="s">
        <v>17</v>
      </c>
      <c r="D90" s="0" t="s">
        <v>35</v>
      </c>
      <c r="E90" s="0" t="n">
        <v>8</v>
      </c>
      <c r="F90" s="0" t="s">
        <v>52</v>
      </c>
      <c r="G90" s="0" t="s">
        <v>20</v>
      </c>
      <c r="H90" s="0" t="n">
        <f aca="false">IF(G90=" ALARM",1,0)</f>
        <v>1</v>
      </c>
      <c r="I90" s="0" t="s">
        <v>20</v>
      </c>
      <c r="J90" s="0" t="n">
        <f aca="false">IF(I90=" ALARM",1,0)</f>
        <v>1</v>
      </c>
      <c r="K90" s="0" t="s">
        <v>20</v>
      </c>
      <c r="L90" s="0" t="n">
        <f aca="false">IF(K90=" ALARM",1,0)</f>
        <v>1</v>
      </c>
      <c r="M90" s="0" t="s">
        <v>290</v>
      </c>
      <c r="N90" s="0" t="s">
        <v>291</v>
      </c>
    </row>
    <row r="91" customFormat="false" ht="12.8" hidden="false" customHeight="false" outlineLevel="0" collapsed="false">
      <c r="A91" s="0" t="n">
        <v>26988</v>
      </c>
      <c r="B91" s="0" t="s">
        <v>292</v>
      </c>
      <c r="C91" s="0" t="s">
        <v>17</v>
      </c>
      <c r="D91" s="0" t="s">
        <v>97</v>
      </c>
      <c r="E91" s="0" t="n">
        <v>8</v>
      </c>
      <c r="F91" s="0" t="s">
        <v>52</v>
      </c>
      <c r="G91" s="0" t="s">
        <v>21</v>
      </c>
      <c r="H91" s="0" t="n">
        <f aca="false">IF(G91=" ALARM",1,0)</f>
        <v>0</v>
      </c>
      <c r="I91" s="0" t="s">
        <v>20</v>
      </c>
      <c r="J91" s="0" t="n">
        <f aca="false">IF(I91=" ALARM",1,0)</f>
        <v>1</v>
      </c>
      <c r="K91" s="0" t="s">
        <v>20</v>
      </c>
      <c r="L91" s="0" t="n">
        <f aca="false">IF(K91=" ALARM",1,0)</f>
        <v>1</v>
      </c>
      <c r="M91" s="0" t="s">
        <v>293</v>
      </c>
      <c r="N91" s="0" t="s">
        <v>294</v>
      </c>
    </row>
    <row r="92" customFormat="false" ht="12.8" hidden="false" customHeight="false" outlineLevel="0" collapsed="false">
      <c r="A92" s="0" t="n">
        <v>26992</v>
      </c>
      <c r="B92" s="0" t="s">
        <v>295</v>
      </c>
      <c r="C92" s="0" t="s">
        <v>17</v>
      </c>
      <c r="D92" s="0" t="s">
        <v>35</v>
      </c>
      <c r="E92" s="0" t="n">
        <v>8</v>
      </c>
      <c r="F92" s="0" t="s">
        <v>52</v>
      </c>
      <c r="G92" s="0" t="s">
        <v>20</v>
      </c>
      <c r="H92" s="0" t="n">
        <f aca="false">IF(G92=" ALARM",1,0)</f>
        <v>1</v>
      </c>
      <c r="I92" s="0" t="s">
        <v>20</v>
      </c>
      <c r="J92" s="0" t="n">
        <f aca="false">IF(I92=" ALARM",1,0)</f>
        <v>1</v>
      </c>
      <c r="K92" s="0" t="s">
        <v>20</v>
      </c>
      <c r="L92" s="0" t="n">
        <f aca="false">IF(K92=" ALARM",1,0)</f>
        <v>1</v>
      </c>
      <c r="M92" s="0" t="s">
        <v>296</v>
      </c>
      <c r="N92" s="0" t="s">
        <v>297</v>
      </c>
    </row>
    <row r="93" customFormat="false" ht="12.8" hidden="false" customHeight="false" outlineLevel="0" collapsed="false">
      <c r="A93" s="0" t="n">
        <v>28725</v>
      </c>
      <c r="B93" s="0" t="s">
        <v>298</v>
      </c>
      <c r="C93" s="0" t="s">
        <v>17</v>
      </c>
      <c r="D93" s="0" t="s">
        <v>97</v>
      </c>
      <c r="E93" s="0" t="n">
        <v>236</v>
      </c>
      <c r="F93" s="0" t="s">
        <v>52</v>
      </c>
      <c r="G93" s="0" t="s">
        <v>21</v>
      </c>
      <c r="H93" s="0" t="n">
        <f aca="false">IF(G93=" ALARM",1,0)</f>
        <v>0</v>
      </c>
      <c r="I93" s="0" t="s">
        <v>21</v>
      </c>
      <c r="J93" s="0" t="n">
        <f aca="false">IF(I93=" ALARM",1,0)</f>
        <v>0</v>
      </c>
      <c r="K93" s="0" t="s">
        <v>20</v>
      </c>
      <c r="L93" s="0" t="n">
        <f aca="false">IF(K93=" ALARM",1,0)</f>
        <v>1</v>
      </c>
      <c r="M93" s="0" t="s">
        <v>119</v>
      </c>
      <c r="N93" s="0" t="s">
        <v>119</v>
      </c>
    </row>
    <row r="94" customFormat="false" ht="12.8" hidden="false" customHeight="false" outlineLevel="0" collapsed="false">
      <c r="A94" s="0" t="n">
        <v>28734</v>
      </c>
      <c r="B94" s="0" t="s">
        <v>299</v>
      </c>
      <c r="C94" s="0" t="s">
        <v>17</v>
      </c>
      <c r="D94" s="0" t="s">
        <v>97</v>
      </c>
      <c r="E94" s="0" t="n">
        <v>236</v>
      </c>
      <c r="F94" s="0" t="s">
        <v>52</v>
      </c>
      <c r="G94" s="0" t="s">
        <v>21</v>
      </c>
      <c r="H94" s="0" t="n">
        <f aca="false">IF(G94=" ALARM",1,0)</f>
        <v>0</v>
      </c>
      <c r="I94" s="0" t="s">
        <v>20</v>
      </c>
      <c r="J94" s="0" t="n">
        <f aca="false">IF(I94=" ALARM",1,0)</f>
        <v>1</v>
      </c>
      <c r="K94" s="0" t="s">
        <v>20</v>
      </c>
      <c r="L94" s="0" t="n">
        <f aca="false">IF(K94=" ALARM",1,0)</f>
        <v>1</v>
      </c>
      <c r="M94" s="0" t="s">
        <v>168</v>
      </c>
      <c r="N94" s="0" t="s">
        <v>169</v>
      </c>
    </row>
    <row r="95" customFormat="false" ht="12.8" hidden="false" customHeight="false" outlineLevel="0" collapsed="false">
      <c r="A95" s="0" t="n">
        <v>119</v>
      </c>
      <c r="B95" s="0" t="s">
        <v>300</v>
      </c>
      <c r="C95" s="0" t="s">
        <v>17</v>
      </c>
      <c r="D95" s="0" t="s">
        <v>35</v>
      </c>
      <c r="E95" s="0" t="n">
        <v>39</v>
      </c>
      <c r="F95" s="0" t="s">
        <v>52</v>
      </c>
      <c r="G95" s="0" t="s">
        <v>20</v>
      </c>
      <c r="H95" s="0" t="n">
        <f aca="false">IF(G95=" ALARM",1,0)</f>
        <v>1</v>
      </c>
      <c r="I95" s="0" t="s">
        <v>20</v>
      </c>
      <c r="J95" s="0" t="n">
        <f aca="false">IF(I95=" ALARM",1,0)</f>
        <v>1</v>
      </c>
      <c r="K95" s="0" t="s">
        <v>20</v>
      </c>
      <c r="L95" s="0" t="n">
        <f aca="false">IF(K95=" ALARM",1,0)</f>
        <v>1</v>
      </c>
      <c r="M95" s="0" t="s">
        <v>301</v>
      </c>
      <c r="N95" s="0" t="s">
        <v>302</v>
      </c>
    </row>
    <row r="96" customFormat="false" ht="12.8" hidden="false" customHeight="false" outlineLevel="0" collapsed="false">
      <c r="A96" s="0" t="n">
        <v>31339</v>
      </c>
      <c r="B96" s="0" t="s">
        <v>303</v>
      </c>
      <c r="C96" s="0" t="s">
        <v>17</v>
      </c>
      <c r="D96" s="0" t="s">
        <v>97</v>
      </c>
      <c r="E96" s="0" t="n">
        <v>8</v>
      </c>
      <c r="F96" s="0" t="s">
        <v>52</v>
      </c>
      <c r="G96" s="0" t="s">
        <v>20</v>
      </c>
      <c r="H96" s="0" t="n">
        <f aca="false">IF(G96=" ALARM",1,0)</f>
        <v>1</v>
      </c>
      <c r="I96" s="0" t="s">
        <v>20</v>
      </c>
      <c r="J96" s="0" t="n">
        <f aca="false">IF(I96=" ALARM",1,0)</f>
        <v>1</v>
      </c>
      <c r="K96" s="0" t="s">
        <v>20</v>
      </c>
      <c r="L96" s="0" t="n">
        <f aca="false">IF(K96=" ALARM",1,0)</f>
        <v>1</v>
      </c>
      <c r="M96" s="0" t="s">
        <v>304</v>
      </c>
      <c r="N96" s="0" t="s">
        <v>305</v>
      </c>
    </row>
    <row r="97" customFormat="false" ht="12.8" hidden="false" customHeight="false" outlineLevel="0" collapsed="false">
      <c r="A97" s="0" t="n">
        <v>31397</v>
      </c>
      <c r="B97" s="0" t="s">
        <v>306</v>
      </c>
      <c r="C97" s="0" t="s">
        <v>17</v>
      </c>
      <c r="D97" s="0" t="s">
        <v>18</v>
      </c>
      <c r="E97" s="0" t="n">
        <v>39</v>
      </c>
      <c r="F97" s="0" t="s">
        <v>52</v>
      </c>
      <c r="G97" s="0" t="s">
        <v>21</v>
      </c>
      <c r="H97" s="0" t="n">
        <f aca="false">IF(G97=" ALARM",1,0)</f>
        <v>0</v>
      </c>
      <c r="I97" s="0" t="s">
        <v>21</v>
      </c>
      <c r="J97" s="0" t="n">
        <f aca="false">IF(I97=" ALARM",1,0)</f>
        <v>0</v>
      </c>
      <c r="K97" s="0" t="s">
        <v>20</v>
      </c>
      <c r="L97" s="0" t="n">
        <f aca="false">IF(K97=" ALARM",1,0)</f>
        <v>1</v>
      </c>
      <c r="M97" s="0" t="s">
        <v>119</v>
      </c>
      <c r="N97" s="0" t="s">
        <v>119</v>
      </c>
      <c r="O97" s="0" t="s">
        <v>307</v>
      </c>
    </row>
    <row r="98" customFormat="false" ht="12.8" hidden="false" customHeight="false" outlineLevel="0" collapsed="false">
      <c r="A98" s="0" t="n">
        <v>31420</v>
      </c>
      <c r="B98" s="0" t="s">
        <v>308</v>
      </c>
      <c r="C98" s="0" t="s">
        <v>17</v>
      </c>
      <c r="D98" s="0" t="s">
        <v>18</v>
      </c>
      <c r="E98" s="0" t="n">
        <v>39</v>
      </c>
      <c r="F98" s="0" t="s">
        <v>52</v>
      </c>
      <c r="G98" s="0" t="s">
        <v>20</v>
      </c>
      <c r="H98" s="0" t="n">
        <f aca="false">IF(G98=" ALARM",1,0)</f>
        <v>1</v>
      </c>
      <c r="I98" s="0" t="s">
        <v>20</v>
      </c>
      <c r="J98" s="0" t="n">
        <f aca="false">IF(I98=" ALARM",1,0)</f>
        <v>1</v>
      </c>
      <c r="K98" s="0" t="s">
        <v>30</v>
      </c>
      <c r="L98" s="0" t="n">
        <f aca="false">IF(K98=" ALARM",1,0)</f>
        <v>0</v>
      </c>
      <c r="M98" s="0" t="s">
        <v>309</v>
      </c>
      <c r="N98" s="0" t="s">
        <v>310</v>
      </c>
      <c r="O98" s="0" t="s">
        <v>311</v>
      </c>
    </row>
    <row r="99" customFormat="false" ht="12.8" hidden="false" customHeight="false" outlineLevel="0" collapsed="false">
      <c r="A99" s="0" t="n">
        <v>31421</v>
      </c>
      <c r="B99" s="0" t="s">
        <v>312</v>
      </c>
      <c r="C99" s="0" t="s">
        <v>17</v>
      </c>
      <c r="D99" s="0" t="s">
        <v>18</v>
      </c>
      <c r="E99" s="0" t="n">
        <v>39</v>
      </c>
      <c r="F99" s="0" t="s">
        <v>52</v>
      </c>
      <c r="G99" s="0" t="s">
        <v>20</v>
      </c>
      <c r="H99" s="0" t="n">
        <f aca="false">IF(G99=" ALARM",1,0)</f>
        <v>1</v>
      </c>
      <c r="I99" s="0" t="s">
        <v>20</v>
      </c>
      <c r="J99" s="0" t="n">
        <f aca="false">IF(I99=" ALARM",1,0)</f>
        <v>1</v>
      </c>
      <c r="K99" s="0" t="s">
        <v>30</v>
      </c>
      <c r="L99" s="0" t="n">
        <f aca="false">IF(K99=" ALARM",1,0)</f>
        <v>0</v>
      </c>
      <c r="M99" s="0" t="s">
        <v>313</v>
      </c>
      <c r="N99" s="0" t="s">
        <v>314</v>
      </c>
      <c r="O99" s="0" t="s">
        <v>311</v>
      </c>
    </row>
    <row r="100" customFormat="false" ht="12.8" hidden="false" customHeight="false" outlineLevel="0" collapsed="false">
      <c r="A100" s="0" t="n">
        <v>34756</v>
      </c>
      <c r="B100" s="0" t="s">
        <v>315</v>
      </c>
      <c r="C100" s="0" t="s">
        <v>17</v>
      </c>
      <c r="D100" s="0" t="s">
        <v>18</v>
      </c>
      <c r="E100" s="0" t="n">
        <v>39</v>
      </c>
      <c r="F100" s="0" t="s">
        <v>52</v>
      </c>
      <c r="G100" s="0" t="s">
        <v>20</v>
      </c>
      <c r="H100" s="0" t="n">
        <f aca="false">IF(G100=" ALARM",1,0)</f>
        <v>1</v>
      </c>
      <c r="I100" s="0" t="s">
        <v>20</v>
      </c>
      <c r="J100" s="0" t="n">
        <f aca="false">IF(I100=" ALARM",1,0)</f>
        <v>1</v>
      </c>
      <c r="K100" s="0" t="s">
        <v>30</v>
      </c>
      <c r="L100" s="0" t="n">
        <f aca="false">IF(K100=" ALARM",1,0)</f>
        <v>0</v>
      </c>
      <c r="M100" s="0" t="s">
        <v>316</v>
      </c>
      <c r="N100" s="0" t="s">
        <v>317</v>
      </c>
      <c r="O100" s="0" t="s">
        <v>318</v>
      </c>
    </row>
    <row r="101" customFormat="false" ht="12.8" hidden="false" customHeight="false" outlineLevel="0" collapsed="false">
      <c r="A101" s="0" t="n">
        <v>34759</v>
      </c>
      <c r="B101" s="0" t="s">
        <v>319</v>
      </c>
      <c r="C101" s="0" t="s">
        <v>17</v>
      </c>
      <c r="D101" s="0" t="s">
        <v>18</v>
      </c>
      <c r="E101" s="0" t="n">
        <v>39</v>
      </c>
      <c r="F101" s="0" t="s">
        <v>52</v>
      </c>
      <c r="G101" s="0" t="s">
        <v>20</v>
      </c>
      <c r="H101" s="0" t="n">
        <f aca="false">IF(G101=" ALARM",1,0)</f>
        <v>1</v>
      </c>
      <c r="I101" s="0" t="s">
        <v>20</v>
      </c>
      <c r="J101" s="0" t="n">
        <f aca="false">IF(I101=" ALARM",1,0)</f>
        <v>1</v>
      </c>
      <c r="K101" s="0" t="s">
        <v>30</v>
      </c>
      <c r="L101" s="0" t="n">
        <f aca="false">IF(K101=" ALARM",1,0)</f>
        <v>0</v>
      </c>
      <c r="M101" s="0" t="s">
        <v>320</v>
      </c>
      <c r="N101" s="0" t="s">
        <v>321</v>
      </c>
      <c r="O101" s="0" t="s">
        <v>318</v>
      </c>
    </row>
    <row r="102" customFormat="false" ht="12.8" hidden="false" customHeight="false" outlineLevel="0" collapsed="false">
      <c r="A102" s="0" t="n">
        <v>115</v>
      </c>
      <c r="B102" s="0" t="s">
        <v>322</v>
      </c>
      <c r="C102" s="0" t="s">
        <v>17</v>
      </c>
      <c r="D102" s="0" t="s">
        <v>35</v>
      </c>
      <c r="E102" s="0" t="n">
        <v>39</v>
      </c>
      <c r="F102" s="0" t="s">
        <v>52</v>
      </c>
      <c r="G102" s="0" t="s">
        <v>20</v>
      </c>
      <c r="H102" s="0" t="n">
        <f aca="false">IF(G102=" ALARM",1,0)</f>
        <v>1</v>
      </c>
      <c r="I102" s="0" t="s">
        <v>20</v>
      </c>
      <c r="J102" s="0" t="n">
        <f aca="false">IF(I102=" ALARM",1,0)</f>
        <v>1</v>
      </c>
      <c r="K102" s="0" t="s">
        <v>20</v>
      </c>
      <c r="L102" s="0" t="n">
        <f aca="false">IF(K102=" ALARM",1,0)</f>
        <v>1</v>
      </c>
      <c r="M102" s="0" t="s">
        <v>323</v>
      </c>
      <c r="N102" s="0" t="s">
        <v>324</v>
      </c>
      <c r="O102" s="0" t="s">
        <v>325</v>
      </c>
    </row>
    <row r="103" customFormat="false" ht="12.8" hidden="false" customHeight="false" outlineLevel="0" collapsed="false">
      <c r="A103" s="0" t="n">
        <v>31402</v>
      </c>
      <c r="B103" s="0" t="s">
        <v>326</v>
      </c>
      <c r="C103" s="0" t="s">
        <v>17</v>
      </c>
      <c r="D103" s="0" t="s">
        <v>18</v>
      </c>
      <c r="E103" s="0" t="n">
        <v>39</v>
      </c>
      <c r="F103" s="0" t="s">
        <v>52</v>
      </c>
      <c r="G103" s="0" t="s">
        <v>21</v>
      </c>
      <c r="H103" s="0" t="n">
        <f aca="false">IF(G103=" ALARM",1,0)</f>
        <v>0</v>
      </c>
      <c r="I103" s="0" t="s">
        <v>21</v>
      </c>
      <c r="J103" s="0" t="n">
        <f aca="false">IF(I103=" ALARM",1,0)</f>
        <v>0</v>
      </c>
      <c r="K103" s="0" t="s">
        <v>20</v>
      </c>
      <c r="L103" s="0" t="n">
        <f aca="false">IF(K103=" ALARM",1,0)</f>
        <v>1</v>
      </c>
      <c r="M103" s="0" t="s">
        <v>119</v>
      </c>
      <c r="N103" s="0" t="s">
        <v>119</v>
      </c>
      <c r="O103" s="0" t="s">
        <v>327</v>
      </c>
    </row>
    <row r="104" customFormat="false" ht="12.8" hidden="false" customHeight="false" outlineLevel="0" collapsed="false">
      <c r="A104" s="0" t="n">
        <v>36812</v>
      </c>
      <c r="B104" s="0" t="s">
        <v>328</v>
      </c>
      <c r="C104" s="0" t="s">
        <v>17</v>
      </c>
      <c r="D104" s="0" t="s">
        <v>35</v>
      </c>
      <c r="E104" s="0" t="n">
        <v>39</v>
      </c>
      <c r="F104" s="0" t="s">
        <v>52</v>
      </c>
      <c r="G104" s="0" t="s">
        <v>20</v>
      </c>
      <c r="H104" s="0" t="n">
        <f aca="false">IF(G104=" ALARM",1,0)</f>
        <v>1</v>
      </c>
      <c r="I104" s="0" t="s">
        <v>20</v>
      </c>
      <c r="J104" s="0" t="n">
        <f aca="false">IF(I104=" ALARM",1,0)</f>
        <v>1</v>
      </c>
      <c r="K104" s="0" t="s">
        <v>20</v>
      </c>
      <c r="L104" s="0" t="n">
        <f aca="false">IF(K104=" ALARM",1,0)</f>
        <v>1</v>
      </c>
      <c r="M104" s="0" t="s">
        <v>329</v>
      </c>
      <c r="N104" s="0" t="s">
        <v>330</v>
      </c>
      <c r="O104" s="0" t="s">
        <v>331</v>
      </c>
    </row>
    <row r="105" customFormat="false" ht="12.8" hidden="false" customHeight="false" outlineLevel="0" collapsed="false">
      <c r="A105" s="0" t="n">
        <v>36799</v>
      </c>
      <c r="B105" s="0" t="s">
        <v>332</v>
      </c>
      <c r="C105" s="0" t="s">
        <v>17</v>
      </c>
      <c r="D105" s="0" t="s">
        <v>35</v>
      </c>
      <c r="E105" s="0" t="n">
        <v>39</v>
      </c>
      <c r="F105" s="0" t="s">
        <v>52</v>
      </c>
      <c r="G105" s="0" t="s">
        <v>20</v>
      </c>
      <c r="H105" s="0" t="n">
        <f aca="false">IF(G105=" ALARM",1,0)</f>
        <v>1</v>
      </c>
      <c r="I105" s="0" t="s">
        <v>20</v>
      </c>
      <c r="J105" s="0" t="n">
        <f aca="false">IF(I105=" ALARM",1,0)</f>
        <v>1</v>
      </c>
      <c r="K105" s="0" t="s">
        <v>20</v>
      </c>
      <c r="L105" s="0" t="n">
        <f aca="false">IF(K105=" ALARM",1,0)</f>
        <v>1</v>
      </c>
      <c r="M105" s="0" t="s">
        <v>333</v>
      </c>
      <c r="N105" s="0" t="s">
        <v>334</v>
      </c>
      <c r="O105" s="0" t="s">
        <v>331</v>
      </c>
    </row>
    <row r="106" customFormat="false" ht="12.8" hidden="false" customHeight="false" outlineLevel="0" collapsed="false">
      <c r="A106" s="0" t="n">
        <v>36872</v>
      </c>
      <c r="B106" s="0" t="s">
        <v>335</v>
      </c>
      <c r="C106" s="0" t="s">
        <v>17</v>
      </c>
      <c r="D106" s="0" t="s">
        <v>18</v>
      </c>
      <c r="E106" s="0" t="n">
        <v>39</v>
      </c>
      <c r="F106" s="0" t="s">
        <v>52</v>
      </c>
      <c r="G106" s="0" t="s">
        <v>20</v>
      </c>
      <c r="H106" s="0" t="n">
        <f aca="false">IF(G106=" ALARM",1,0)</f>
        <v>1</v>
      </c>
      <c r="I106" s="0" t="s">
        <v>20</v>
      </c>
      <c r="J106" s="0" t="n">
        <f aca="false">IF(I106=" ALARM",1,0)</f>
        <v>1</v>
      </c>
      <c r="K106" s="0" t="s">
        <v>21</v>
      </c>
      <c r="L106" s="0" t="n">
        <f aca="false">IF(K106=" ALARM",1,0)</f>
        <v>0</v>
      </c>
      <c r="M106" s="0" t="s">
        <v>336</v>
      </c>
      <c r="N106" s="0" t="s">
        <v>337</v>
      </c>
      <c r="O106" s="0" t="s">
        <v>338</v>
      </c>
    </row>
    <row r="107" customFormat="false" ht="12.8" hidden="false" customHeight="false" outlineLevel="0" collapsed="false">
      <c r="A107" s="0" t="n">
        <v>40784</v>
      </c>
      <c r="B107" s="0" t="s">
        <v>339</v>
      </c>
      <c r="C107" s="0" t="s">
        <v>17</v>
      </c>
      <c r="D107" s="0" t="s">
        <v>18</v>
      </c>
      <c r="E107" s="0" t="n">
        <v>39</v>
      </c>
      <c r="F107" s="0" t="s">
        <v>52</v>
      </c>
      <c r="G107" s="0" t="s">
        <v>20</v>
      </c>
      <c r="H107" s="0" t="n">
        <f aca="false">IF(G107=" ALARM",1,0)</f>
        <v>1</v>
      </c>
      <c r="I107" s="0" t="s">
        <v>20</v>
      </c>
      <c r="J107" s="0" t="n">
        <f aca="false">IF(I107=" ALARM",1,0)</f>
        <v>1</v>
      </c>
      <c r="K107" s="0" t="s">
        <v>20</v>
      </c>
      <c r="L107" s="0" t="n">
        <f aca="false">IF(K107=" ALARM",1,0)</f>
        <v>1</v>
      </c>
      <c r="M107" s="0" t="s">
        <v>340</v>
      </c>
      <c r="N107" s="0" t="s">
        <v>341</v>
      </c>
      <c r="O107" s="0" t="s">
        <v>342</v>
      </c>
    </row>
    <row r="108" customFormat="false" ht="12.8" hidden="false" customHeight="false" outlineLevel="0" collapsed="false">
      <c r="A108" s="0" t="n">
        <v>40913</v>
      </c>
      <c r="B108" s="0" t="s">
        <v>343</v>
      </c>
      <c r="C108" s="0" t="s">
        <v>17</v>
      </c>
      <c r="D108" s="0" t="s">
        <v>35</v>
      </c>
      <c r="E108" s="0" t="n">
        <v>421</v>
      </c>
      <c r="F108" s="0" t="s">
        <v>52</v>
      </c>
      <c r="G108" s="0" t="s">
        <v>20</v>
      </c>
      <c r="H108" s="0" t="n">
        <f aca="false">IF(G108=" ALARM",1,0)</f>
        <v>1</v>
      </c>
      <c r="I108" s="0" t="s">
        <v>20</v>
      </c>
      <c r="J108" s="0" t="n">
        <f aca="false">IF(I108=" ALARM",1,0)</f>
        <v>1</v>
      </c>
      <c r="K108" s="0" t="s">
        <v>20</v>
      </c>
      <c r="L108" s="0" t="n">
        <f aca="false">IF(K108=" ALARM",1,0)</f>
        <v>1</v>
      </c>
      <c r="M108" s="0" t="s">
        <v>344</v>
      </c>
      <c r="N108" s="0" t="s">
        <v>345</v>
      </c>
    </row>
    <row r="109" customFormat="false" ht="12.8" hidden="false" customHeight="false" outlineLevel="0" collapsed="false">
      <c r="A109" s="0" t="n">
        <v>41062</v>
      </c>
      <c r="B109" s="0" t="s">
        <v>346</v>
      </c>
      <c r="C109" s="0" t="s">
        <v>17</v>
      </c>
      <c r="D109" s="0" t="s">
        <v>35</v>
      </c>
      <c r="E109" s="0" t="n">
        <v>389</v>
      </c>
      <c r="F109" s="0" t="s">
        <v>52</v>
      </c>
      <c r="G109" s="0" t="s">
        <v>20</v>
      </c>
      <c r="H109" s="0" t="n">
        <f aca="false">IF(G109=" ALARM",1,0)</f>
        <v>1</v>
      </c>
      <c r="I109" s="0" t="s">
        <v>20</v>
      </c>
      <c r="J109" s="0" t="n">
        <f aca="false">IF(I109=" ALARM",1,0)</f>
        <v>1</v>
      </c>
      <c r="K109" s="0" t="s">
        <v>20</v>
      </c>
      <c r="L109" s="0" t="n">
        <f aca="false">IF(K109=" ALARM",1,0)</f>
        <v>1</v>
      </c>
      <c r="M109" s="0" t="s">
        <v>347</v>
      </c>
      <c r="N109" s="0" t="s">
        <v>348</v>
      </c>
    </row>
    <row r="110" customFormat="false" ht="12.8" hidden="false" customHeight="false" outlineLevel="0" collapsed="false">
      <c r="A110" s="0" t="n">
        <v>42147</v>
      </c>
      <c r="B110" s="0" t="s">
        <v>349</v>
      </c>
      <c r="C110" s="0" t="s">
        <v>17</v>
      </c>
      <c r="D110" s="0" t="s">
        <v>18</v>
      </c>
      <c r="E110" s="0" t="n">
        <v>39</v>
      </c>
      <c r="F110" s="0" t="s">
        <v>52</v>
      </c>
      <c r="G110" s="0" t="s">
        <v>20</v>
      </c>
      <c r="H110" s="0" t="n">
        <f aca="false">IF(G110=" ALARM",1,0)</f>
        <v>1</v>
      </c>
      <c r="I110" s="0" t="s">
        <v>20</v>
      </c>
      <c r="J110" s="0" t="n">
        <f aca="false">IF(I110=" ALARM",1,0)</f>
        <v>1</v>
      </c>
      <c r="K110" s="0" t="s">
        <v>20</v>
      </c>
      <c r="L110" s="0" t="n">
        <f aca="false">IF(K110=" ALARM",1,0)</f>
        <v>1</v>
      </c>
      <c r="M110" s="0" t="s">
        <v>350</v>
      </c>
      <c r="N110" s="0" t="s">
        <v>351</v>
      </c>
      <c r="O110" s="0" t="s">
        <v>352</v>
      </c>
    </row>
    <row r="111" customFormat="false" ht="12.8" hidden="false" customHeight="false" outlineLevel="0" collapsed="false">
      <c r="A111" s="0" t="n">
        <v>44115</v>
      </c>
      <c r="B111" s="0" t="s">
        <v>353</v>
      </c>
      <c r="C111" s="0" t="s">
        <v>17</v>
      </c>
      <c r="D111" s="0" t="s">
        <v>18</v>
      </c>
      <c r="E111" s="0" t="n">
        <v>39</v>
      </c>
      <c r="F111" s="0" t="s">
        <v>52</v>
      </c>
      <c r="G111" s="0" t="s">
        <v>21</v>
      </c>
      <c r="H111" s="0" t="n">
        <f aca="false">IF(G111=" ALARM",1,0)</f>
        <v>0</v>
      </c>
      <c r="I111" s="0" t="s">
        <v>21</v>
      </c>
      <c r="J111" s="0" t="n">
        <f aca="false">IF(I111=" ALARM",1,0)</f>
        <v>0</v>
      </c>
      <c r="K111" s="0" t="s">
        <v>20</v>
      </c>
      <c r="L111" s="0" t="n">
        <f aca="false">IF(K111=" ALARM",1,0)</f>
        <v>1</v>
      </c>
      <c r="M111" s="0" t="s">
        <v>119</v>
      </c>
      <c r="N111" s="0" t="s">
        <v>119</v>
      </c>
      <c r="O111" s="0" t="s">
        <v>354</v>
      </c>
    </row>
    <row r="112" customFormat="false" ht="12.8" hidden="false" customHeight="false" outlineLevel="0" collapsed="false">
      <c r="A112" s="0" t="n">
        <v>44137</v>
      </c>
      <c r="B112" s="0" t="s">
        <v>355</v>
      </c>
      <c r="C112" s="0" t="s">
        <v>17</v>
      </c>
      <c r="D112" s="0" t="s">
        <v>18</v>
      </c>
      <c r="E112" s="0" t="n">
        <v>39</v>
      </c>
      <c r="F112" s="0" t="s">
        <v>52</v>
      </c>
      <c r="G112" s="0" t="s">
        <v>20</v>
      </c>
      <c r="H112" s="0" t="n">
        <f aca="false">IF(G112=" ALARM",1,0)</f>
        <v>1</v>
      </c>
      <c r="I112" s="0" t="s">
        <v>20</v>
      </c>
      <c r="J112" s="0" t="n">
        <f aca="false">IF(I112=" ALARM",1,0)</f>
        <v>1</v>
      </c>
      <c r="K112" s="0" t="s">
        <v>30</v>
      </c>
      <c r="L112" s="0" t="n">
        <f aca="false">IF(K112=" ALARM",1,0)</f>
        <v>0</v>
      </c>
      <c r="M112" s="0" t="s">
        <v>356</v>
      </c>
      <c r="N112" s="0" t="s">
        <v>357</v>
      </c>
      <c r="O112" s="0" t="s">
        <v>358</v>
      </c>
    </row>
    <row r="113" customFormat="false" ht="12.8" hidden="false" customHeight="false" outlineLevel="0" collapsed="false">
      <c r="A113" s="0" t="n">
        <v>42626</v>
      </c>
      <c r="B113" s="0" t="s">
        <v>359</v>
      </c>
      <c r="C113" s="0" t="s">
        <v>17</v>
      </c>
      <c r="D113" s="0" t="s">
        <v>35</v>
      </c>
      <c r="E113" s="0" t="n">
        <v>421</v>
      </c>
      <c r="F113" s="0" t="s">
        <v>52</v>
      </c>
      <c r="G113" s="0" t="s">
        <v>20</v>
      </c>
      <c r="H113" s="0" t="n">
        <f aca="false">IF(G113=" ALARM",1,0)</f>
        <v>1</v>
      </c>
      <c r="I113" s="0" t="s">
        <v>20</v>
      </c>
      <c r="J113" s="0" t="n">
        <f aca="false">IF(I113=" ALARM",1,0)</f>
        <v>1</v>
      </c>
      <c r="K113" s="0" t="s">
        <v>20</v>
      </c>
      <c r="L113" s="0" t="n">
        <f aca="false">IF(K113=" ALARM",1,0)</f>
        <v>1</v>
      </c>
      <c r="M113" s="0" t="s">
        <v>360</v>
      </c>
      <c r="N113" s="0" t="s">
        <v>361</v>
      </c>
    </row>
    <row r="114" customFormat="false" ht="12.8" hidden="false" customHeight="false" outlineLevel="0" collapsed="false">
      <c r="A114" s="0" t="n">
        <v>45209</v>
      </c>
      <c r="B114" s="0" t="s">
        <v>362</v>
      </c>
      <c r="C114" s="0" t="s">
        <v>17</v>
      </c>
      <c r="D114" s="0" t="s">
        <v>18</v>
      </c>
      <c r="E114" s="0" t="n">
        <v>39</v>
      </c>
      <c r="F114" s="0" t="s">
        <v>52</v>
      </c>
      <c r="G114" s="0" t="s">
        <v>20</v>
      </c>
      <c r="H114" s="0" t="n">
        <f aca="false">IF(G114=" ALARM",1,0)</f>
        <v>1</v>
      </c>
      <c r="I114" s="0" t="s">
        <v>20</v>
      </c>
      <c r="J114" s="0" t="n">
        <f aca="false">IF(I114=" ALARM",1,0)</f>
        <v>1</v>
      </c>
      <c r="K114" s="0" t="s">
        <v>21</v>
      </c>
      <c r="L114" s="0" t="n">
        <f aca="false">IF(K114=" ALARM",1,0)</f>
        <v>0</v>
      </c>
      <c r="M114" s="0" t="s">
        <v>363</v>
      </c>
      <c r="N114" s="0" t="s">
        <v>364</v>
      </c>
      <c r="O114" s="0" t="s">
        <v>365</v>
      </c>
    </row>
    <row r="115" customFormat="false" ht="12.8" hidden="false" customHeight="false" outlineLevel="0" collapsed="false">
      <c r="A115" s="0" t="n">
        <v>45208</v>
      </c>
      <c r="B115" s="0" t="s">
        <v>366</v>
      </c>
      <c r="C115" s="0" t="s">
        <v>17</v>
      </c>
      <c r="D115" s="0" t="s">
        <v>18</v>
      </c>
      <c r="E115" s="0" t="n">
        <v>39</v>
      </c>
      <c r="F115" s="0" t="s">
        <v>52</v>
      </c>
      <c r="G115" s="0" t="s">
        <v>21</v>
      </c>
      <c r="H115" s="0" t="n">
        <f aca="false">IF(G115=" ALARM",1,0)</f>
        <v>0</v>
      </c>
      <c r="I115" s="0" t="s">
        <v>20</v>
      </c>
      <c r="J115" s="0" t="n">
        <f aca="false">IF(I115=" ALARM",1,0)</f>
        <v>1</v>
      </c>
      <c r="K115" s="0" t="s">
        <v>21</v>
      </c>
      <c r="L115" s="0" t="n">
        <f aca="false">IF(K115=" ALARM",1,0)</f>
        <v>0</v>
      </c>
      <c r="M115" s="0" t="s">
        <v>86</v>
      </c>
      <c r="N115" s="0" t="s">
        <v>367</v>
      </c>
      <c r="O115" s="0" t="s">
        <v>365</v>
      </c>
    </row>
    <row r="116" customFormat="false" ht="12.8" hidden="false" customHeight="false" outlineLevel="0" collapsed="false">
      <c r="A116" s="0" t="n">
        <v>45781</v>
      </c>
      <c r="B116" s="0" t="s">
        <v>368</v>
      </c>
      <c r="C116" s="0" t="s">
        <v>17</v>
      </c>
      <c r="D116" s="0" t="s">
        <v>35</v>
      </c>
      <c r="E116" s="0" t="n">
        <v>39</v>
      </c>
      <c r="F116" s="0" t="s">
        <v>52</v>
      </c>
      <c r="G116" s="0" t="s">
        <v>20</v>
      </c>
      <c r="H116" s="0" t="n">
        <f aca="false">IF(G116=" ALARM",1,0)</f>
        <v>1</v>
      </c>
      <c r="I116" s="0" t="s">
        <v>20</v>
      </c>
      <c r="J116" s="0" t="n">
        <f aca="false">IF(I116=" ALARM",1,0)</f>
        <v>1</v>
      </c>
      <c r="K116" s="0" t="s">
        <v>20</v>
      </c>
      <c r="L116" s="0" t="n">
        <f aca="false">IF(K116=" ALARM",1,0)</f>
        <v>1</v>
      </c>
      <c r="M116" s="0" t="s">
        <v>369</v>
      </c>
      <c r="N116" s="0" t="s">
        <v>370</v>
      </c>
      <c r="O116" s="0" t="s">
        <v>371</v>
      </c>
    </row>
    <row r="117" customFormat="false" ht="12.8" hidden="false" customHeight="false" outlineLevel="0" collapsed="false">
      <c r="A117" s="0" t="n">
        <v>45795</v>
      </c>
      <c r="B117" s="0" t="s">
        <v>372</v>
      </c>
      <c r="C117" s="0" t="s">
        <v>17</v>
      </c>
      <c r="D117" s="0" t="s">
        <v>35</v>
      </c>
      <c r="E117" s="0" t="n">
        <v>39</v>
      </c>
      <c r="F117" s="0" t="s">
        <v>52</v>
      </c>
      <c r="G117" s="0" t="s">
        <v>20</v>
      </c>
      <c r="H117" s="0" t="n">
        <f aca="false">IF(G117=" ALARM",1,0)</f>
        <v>1</v>
      </c>
      <c r="I117" s="0" t="s">
        <v>20</v>
      </c>
      <c r="J117" s="0" t="n">
        <f aca="false">IF(I117=" ALARM",1,0)</f>
        <v>1</v>
      </c>
      <c r="K117" s="0" t="s">
        <v>20</v>
      </c>
      <c r="L117" s="0" t="n">
        <f aca="false">IF(K117=" ALARM",1,0)</f>
        <v>1</v>
      </c>
      <c r="M117" s="0" t="s">
        <v>373</v>
      </c>
      <c r="N117" s="0" t="s">
        <v>374</v>
      </c>
      <c r="O117" s="0" t="s">
        <v>375</v>
      </c>
    </row>
    <row r="118" customFormat="false" ht="12.8" hidden="false" customHeight="false" outlineLevel="0" collapsed="false">
      <c r="A118" s="0" t="n">
        <v>45800</v>
      </c>
      <c r="B118" s="0" t="s">
        <v>376</v>
      </c>
      <c r="C118" s="0" t="s">
        <v>17</v>
      </c>
      <c r="D118" s="0" t="s">
        <v>35</v>
      </c>
      <c r="E118" s="0" t="n">
        <v>39</v>
      </c>
      <c r="F118" s="0" t="s">
        <v>52</v>
      </c>
      <c r="G118" s="0" t="s">
        <v>20</v>
      </c>
      <c r="H118" s="0" t="n">
        <f aca="false">IF(G118=" ALARM",1,0)</f>
        <v>1</v>
      </c>
      <c r="I118" s="0" t="s">
        <v>20</v>
      </c>
      <c r="J118" s="0" t="n">
        <f aca="false">IF(I118=" ALARM",1,0)</f>
        <v>1</v>
      </c>
      <c r="K118" s="0" t="s">
        <v>20</v>
      </c>
      <c r="L118" s="0" t="n">
        <f aca="false">IF(K118=" ALARM",1,0)</f>
        <v>1</v>
      </c>
      <c r="M118" s="0" t="s">
        <v>377</v>
      </c>
      <c r="N118" s="0" t="s">
        <v>378</v>
      </c>
      <c r="O118" s="0" t="s">
        <v>375</v>
      </c>
    </row>
    <row r="119" customFormat="false" ht="12.8" hidden="false" customHeight="false" outlineLevel="0" collapsed="false">
      <c r="A119" s="0" t="n">
        <v>45393</v>
      </c>
      <c r="B119" s="0" t="s">
        <v>379</v>
      </c>
      <c r="C119" s="0" t="s">
        <v>17</v>
      </c>
      <c r="D119" s="0" t="s">
        <v>35</v>
      </c>
      <c r="E119" s="0" t="n">
        <v>465</v>
      </c>
      <c r="F119" s="0" t="s">
        <v>52</v>
      </c>
      <c r="G119" s="0" t="s">
        <v>21</v>
      </c>
      <c r="H119" s="0" t="n">
        <f aca="false">IF(G119=" ALARM",1,0)</f>
        <v>0</v>
      </c>
      <c r="I119" s="0" t="s">
        <v>21</v>
      </c>
      <c r="J119" s="0" t="n">
        <f aca="false">IF(I119=" ALARM",1,0)</f>
        <v>0</v>
      </c>
      <c r="K119" s="0" t="s">
        <v>20</v>
      </c>
      <c r="L119" s="0" t="n">
        <f aca="false">IF(K119=" ALARM",1,0)</f>
        <v>1</v>
      </c>
      <c r="M119" s="0" t="s">
        <v>119</v>
      </c>
      <c r="N119" s="0" t="s">
        <v>119</v>
      </c>
    </row>
    <row r="120" customFormat="false" ht="12.8" hidden="false" customHeight="false" outlineLevel="0" collapsed="false">
      <c r="A120" s="0" t="n">
        <v>47000</v>
      </c>
      <c r="B120" s="0" t="s">
        <v>380</v>
      </c>
      <c r="C120" s="0" t="s">
        <v>17</v>
      </c>
      <c r="D120" s="0" t="s">
        <v>18</v>
      </c>
      <c r="E120" s="0" t="n">
        <v>39</v>
      </c>
      <c r="F120" s="0" t="s">
        <v>52</v>
      </c>
      <c r="G120" s="0" t="s">
        <v>20</v>
      </c>
      <c r="H120" s="0" t="n">
        <f aca="false">IF(G120=" ALARM",1,0)</f>
        <v>1</v>
      </c>
      <c r="I120" s="0" t="s">
        <v>20</v>
      </c>
      <c r="J120" s="0" t="n">
        <f aca="false">IF(I120=" ALARM",1,0)</f>
        <v>1</v>
      </c>
      <c r="K120" s="0" t="s">
        <v>30</v>
      </c>
      <c r="L120" s="0" t="n">
        <f aca="false">IF(K120=" ALARM",1,0)</f>
        <v>0</v>
      </c>
      <c r="M120" s="0" t="s">
        <v>381</v>
      </c>
      <c r="N120" s="0" t="s">
        <v>382</v>
      </c>
      <c r="O120" s="0" t="s">
        <v>383</v>
      </c>
    </row>
    <row r="121" customFormat="false" ht="12.8" hidden="false" customHeight="false" outlineLevel="0" collapsed="false">
      <c r="A121" s="0" t="n">
        <v>47002</v>
      </c>
      <c r="B121" s="0" t="s">
        <v>384</v>
      </c>
      <c r="C121" s="0" t="s">
        <v>17</v>
      </c>
      <c r="D121" s="0" t="s">
        <v>18</v>
      </c>
      <c r="E121" s="0" t="n">
        <v>39</v>
      </c>
      <c r="F121" s="0" t="s">
        <v>52</v>
      </c>
      <c r="G121" s="0" t="s">
        <v>20</v>
      </c>
      <c r="H121" s="0" t="n">
        <f aca="false">IF(G121=" ALARM",1,0)</f>
        <v>1</v>
      </c>
      <c r="I121" s="0" t="s">
        <v>20</v>
      </c>
      <c r="J121" s="0" t="n">
        <f aca="false">IF(I121=" ALARM",1,0)</f>
        <v>1</v>
      </c>
      <c r="K121" s="0" t="s">
        <v>30</v>
      </c>
      <c r="L121" s="0" t="n">
        <f aca="false">IF(K121=" ALARM",1,0)</f>
        <v>0</v>
      </c>
      <c r="M121" s="0" t="s">
        <v>385</v>
      </c>
      <c r="N121" s="0" t="s">
        <v>386</v>
      </c>
      <c r="O121" s="0" t="s">
        <v>383</v>
      </c>
    </row>
    <row r="122" customFormat="false" ht="12.8" hidden="false" customHeight="false" outlineLevel="0" collapsed="false">
      <c r="A122" s="0" t="n">
        <v>47173</v>
      </c>
      <c r="B122" s="0" t="s">
        <v>387</v>
      </c>
      <c r="C122" s="0" t="s">
        <v>17</v>
      </c>
      <c r="D122" s="0" t="s">
        <v>35</v>
      </c>
      <c r="E122" s="0" t="n">
        <v>483</v>
      </c>
      <c r="F122" s="0" t="s">
        <v>52</v>
      </c>
      <c r="G122" s="0" t="s">
        <v>21</v>
      </c>
      <c r="H122" s="0" t="n">
        <f aca="false">IF(G122=" ALARM",1,0)</f>
        <v>0</v>
      </c>
      <c r="I122" s="0" t="s">
        <v>21</v>
      </c>
      <c r="J122" s="0" t="n">
        <f aca="false">IF(I122=" ALARM",1,0)</f>
        <v>0</v>
      </c>
      <c r="K122" s="0" t="s">
        <v>30</v>
      </c>
      <c r="L122" s="0" t="n">
        <f aca="false">IF(K122=" ALARM",1,0)</f>
        <v>0</v>
      </c>
      <c r="M122" s="0" t="s">
        <v>119</v>
      </c>
      <c r="N122" s="0" t="s">
        <v>119</v>
      </c>
    </row>
    <row r="123" customFormat="false" ht="12.8" hidden="false" customHeight="false" outlineLevel="0" collapsed="false">
      <c r="A123" s="0" t="n">
        <v>53665</v>
      </c>
      <c r="B123" s="0" t="s">
        <v>388</v>
      </c>
      <c r="C123" s="0" t="s">
        <v>17</v>
      </c>
      <c r="D123" s="0" t="s">
        <v>18</v>
      </c>
      <c r="E123" s="0" t="n">
        <v>39</v>
      </c>
      <c r="F123" s="0" t="s">
        <v>52</v>
      </c>
      <c r="G123" s="0" t="s">
        <v>20</v>
      </c>
      <c r="H123" s="0" t="n">
        <f aca="false">IF(G123=" ALARM",1,0)</f>
        <v>1</v>
      </c>
      <c r="I123" s="0" t="s">
        <v>20</v>
      </c>
      <c r="J123" s="0" t="n">
        <f aca="false">IF(I123=" ALARM",1,0)</f>
        <v>1</v>
      </c>
      <c r="K123" s="0" t="s">
        <v>20</v>
      </c>
      <c r="L123" s="0" t="n">
        <f aca="false">IF(K123=" ALARM",1,0)</f>
        <v>1</v>
      </c>
      <c r="M123" s="0" t="s">
        <v>389</v>
      </c>
      <c r="N123" s="0" t="s">
        <v>390</v>
      </c>
      <c r="O123" s="0" t="s">
        <v>391</v>
      </c>
    </row>
    <row r="124" customFormat="false" ht="12.8" hidden="false" customHeight="false" outlineLevel="0" collapsed="false">
      <c r="A124" s="0" t="n">
        <v>53666</v>
      </c>
      <c r="B124" s="0" t="s">
        <v>392</v>
      </c>
      <c r="C124" s="0" t="s">
        <v>17</v>
      </c>
      <c r="D124" s="0" t="s">
        <v>18</v>
      </c>
      <c r="E124" s="0" t="n">
        <v>39</v>
      </c>
      <c r="F124" s="0" t="s">
        <v>52</v>
      </c>
      <c r="G124" s="0" t="s">
        <v>20</v>
      </c>
      <c r="H124" s="0" t="n">
        <f aca="false">IF(G124=" ALARM",1,0)</f>
        <v>1</v>
      </c>
      <c r="I124" s="0" t="s">
        <v>20</v>
      </c>
      <c r="J124" s="0" t="n">
        <f aca="false">IF(I124=" ALARM",1,0)</f>
        <v>1</v>
      </c>
      <c r="K124" s="0" t="s">
        <v>20</v>
      </c>
      <c r="L124" s="0" t="n">
        <f aca="false">IF(K124=" ALARM",1,0)</f>
        <v>1</v>
      </c>
      <c r="M124" s="0" t="s">
        <v>393</v>
      </c>
      <c r="N124" s="0" t="s">
        <v>394</v>
      </c>
      <c r="O124" s="0" t="s">
        <v>391</v>
      </c>
    </row>
    <row r="125" customFormat="false" ht="12.8" hidden="false" customHeight="false" outlineLevel="0" collapsed="false">
      <c r="A125" s="0" t="n">
        <v>56779</v>
      </c>
      <c r="B125" s="0" t="s">
        <v>395</v>
      </c>
      <c r="C125" s="0" t="s">
        <v>17</v>
      </c>
      <c r="D125" s="0" t="s">
        <v>35</v>
      </c>
      <c r="E125" s="0" t="n">
        <v>481</v>
      </c>
      <c r="F125" s="0" t="s">
        <v>52</v>
      </c>
      <c r="G125" s="0" t="s">
        <v>20</v>
      </c>
      <c r="H125" s="0" t="n">
        <f aca="false">IF(G125=" ALARM",1,0)</f>
        <v>1</v>
      </c>
      <c r="I125" s="0" t="s">
        <v>20</v>
      </c>
      <c r="J125" s="0" t="n">
        <f aca="false">IF(I125=" ALARM",1,0)</f>
        <v>1</v>
      </c>
      <c r="K125" s="0" t="s">
        <v>30</v>
      </c>
      <c r="L125" s="0" t="n">
        <f aca="false">IF(K125=" ALARM",1,0)</f>
        <v>0</v>
      </c>
      <c r="M125" s="0" t="s">
        <v>396</v>
      </c>
      <c r="N125" s="0" t="s">
        <v>397</v>
      </c>
    </row>
    <row r="126" customFormat="false" ht="12.8" hidden="false" customHeight="false" outlineLevel="0" collapsed="false">
      <c r="A126" s="0" t="n">
        <v>60724</v>
      </c>
      <c r="B126" s="0" t="s">
        <v>398</v>
      </c>
      <c r="C126" s="0" t="s">
        <v>17</v>
      </c>
      <c r="D126" s="0" t="s">
        <v>35</v>
      </c>
      <c r="E126" s="0" t="n">
        <v>481</v>
      </c>
      <c r="F126" s="0" t="s">
        <v>52</v>
      </c>
      <c r="G126" s="0" t="s">
        <v>21</v>
      </c>
      <c r="H126" s="0" t="n">
        <f aca="false">IF(G126=" ALARM",1,0)</f>
        <v>0</v>
      </c>
      <c r="I126" s="0" t="s">
        <v>21</v>
      </c>
      <c r="J126" s="0" t="n">
        <f aca="false">IF(I126=" ALARM",1,0)</f>
        <v>0</v>
      </c>
      <c r="K126" s="0" t="s">
        <v>30</v>
      </c>
      <c r="L126" s="0" t="n">
        <f aca="false">IF(K126=" ALARM",1,0)</f>
        <v>0</v>
      </c>
      <c r="M126" s="0" t="s">
        <v>399</v>
      </c>
      <c r="N126" s="0" t="s">
        <v>399</v>
      </c>
    </row>
    <row r="127" customFormat="false" ht="12.8" hidden="false" customHeight="false" outlineLevel="0" collapsed="false">
      <c r="A127" s="0" t="n">
        <v>77999</v>
      </c>
      <c r="B127" s="0" t="s">
        <v>400</v>
      </c>
      <c r="C127" s="0" t="s">
        <v>17</v>
      </c>
      <c r="D127" s="0" t="s">
        <v>35</v>
      </c>
      <c r="E127" s="0" t="n">
        <v>39</v>
      </c>
      <c r="F127" s="0" t="s">
        <v>52</v>
      </c>
      <c r="G127" s="0" t="s">
        <v>20</v>
      </c>
      <c r="H127" s="0" t="n">
        <f aca="false">IF(G127=" ALARM",1,0)</f>
        <v>1</v>
      </c>
      <c r="I127" s="0" t="s">
        <v>20</v>
      </c>
      <c r="J127" s="0" t="n">
        <f aca="false">IF(I127=" ALARM",1,0)</f>
        <v>1</v>
      </c>
      <c r="K127" s="0" t="s">
        <v>20</v>
      </c>
      <c r="L127" s="0" t="n">
        <f aca="false">IF(K127=" ALARM",1,0)</f>
        <v>1</v>
      </c>
      <c r="M127" s="0" t="s">
        <v>401</v>
      </c>
      <c r="N127" s="0" t="s">
        <v>402</v>
      </c>
    </row>
    <row r="128" customFormat="false" ht="12.8" hidden="false" customHeight="false" outlineLevel="0" collapsed="false">
      <c r="A128" s="0" t="n">
        <v>78001</v>
      </c>
      <c r="B128" s="0" t="s">
        <v>403</v>
      </c>
      <c r="C128" s="0" t="s">
        <v>17</v>
      </c>
      <c r="D128" s="0" t="s">
        <v>35</v>
      </c>
      <c r="E128" s="0" t="n">
        <v>39</v>
      </c>
      <c r="F128" s="0" t="s">
        <v>52</v>
      </c>
      <c r="G128" s="0" t="s">
        <v>30</v>
      </c>
      <c r="H128" s="0" t="n">
        <f aca="false">IF(G128=" ALARM",1,0)</f>
        <v>0</v>
      </c>
      <c r="I128" s="0" t="s">
        <v>20</v>
      </c>
      <c r="J128" s="0" t="n">
        <f aca="false">IF(I128=" ALARM",1,0)</f>
        <v>1</v>
      </c>
      <c r="K128" s="0" t="s">
        <v>20</v>
      </c>
      <c r="L128" s="0" t="n">
        <f aca="false">IF(K128=" ALARM",1,0)</f>
        <v>1</v>
      </c>
      <c r="M128" s="0" t="s">
        <v>404</v>
      </c>
      <c r="N128" s="0" t="s">
        <v>405</v>
      </c>
    </row>
    <row r="129" customFormat="false" ht="12.8" hidden="false" customHeight="false" outlineLevel="0" collapsed="false">
      <c r="A129" s="0" t="n">
        <v>82313</v>
      </c>
      <c r="B129" s="0" t="s">
        <v>406</v>
      </c>
      <c r="C129" s="0" t="s">
        <v>17</v>
      </c>
      <c r="D129" s="0" t="s">
        <v>18</v>
      </c>
      <c r="E129" s="0" t="n">
        <v>39</v>
      </c>
      <c r="F129" s="0" t="s">
        <v>52</v>
      </c>
      <c r="G129" s="0" t="s">
        <v>20</v>
      </c>
      <c r="H129" s="0" t="n">
        <f aca="false">IF(G129=" ALARM",1,0)</f>
        <v>1</v>
      </c>
      <c r="I129" s="0" t="s">
        <v>20</v>
      </c>
      <c r="J129" s="0" t="n">
        <f aca="false">IF(I129=" ALARM",1,0)</f>
        <v>1</v>
      </c>
      <c r="K129" s="0" t="s">
        <v>30</v>
      </c>
      <c r="L129" s="0" t="n">
        <f aca="false">IF(K129=" ALARM",1,0)</f>
        <v>0</v>
      </c>
      <c r="M129" s="0" t="s">
        <v>407</v>
      </c>
      <c r="N129" s="0" t="s">
        <v>408</v>
      </c>
      <c r="O129" s="0" t="s">
        <v>409</v>
      </c>
    </row>
    <row r="130" customFormat="false" ht="12.8" hidden="false" customHeight="false" outlineLevel="0" collapsed="false">
      <c r="A130" s="0" t="n">
        <v>86357</v>
      </c>
      <c r="B130" s="0" t="s">
        <v>410</v>
      </c>
      <c r="C130" s="0" t="s">
        <v>17</v>
      </c>
      <c r="D130" s="0" t="s">
        <v>18</v>
      </c>
      <c r="E130" s="0" t="n">
        <v>39</v>
      </c>
      <c r="F130" s="0" t="s">
        <v>52</v>
      </c>
      <c r="G130" s="0" t="s">
        <v>20</v>
      </c>
      <c r="H130" s="0" t="n">
        <f aca="false">IF(G130=" ALARM",1,0)</f>
        <v>1</v>
      </c>
      <c r="I130" s="0" t="s">
        <v>20</v>
      </c>
      <c r="J130" s="0" t="n">
        <f aca="false">IF(I130=" ALARM",1,0)</f>
        <v>1</v>
      </c>
      <c r="K130" s="0" t="s">
        <v>20</v>
      </c>
      <c r="L130" s="0" t="n">
        <f aca="false">IF(K130=" ALARM",1,0)</f>
        <v>1</v>
      </c>
      <c r="M130" s="0" t="s">
        <v>411</v>
      </c>
      <c r="N130" s="0" t="s">
        <v>412</v>
      </c>
      <c r="O130" s="0" t="s">
        <v>413</v>
      </c>
    </row>
    <row r="131" customFormat="false" ht="12.8" hidden="false" customHeight="false" outlineLevel="0" collapsed="false">
      <c r="A131" s="0" t="n">
        <v>86656</v>
      </c>
      <c r="B131" s="0" t="s">
        <v>414</v>
      </c>
      <c r="C131" s="0" t="s">
        <v>17</v>
      </c>
      <c r="D131" s="0" t="s">
        <v>18</v>
      </c>
      <c r="E131" s="0" t="n">
        <v>39</v>
      </c>
      <c r="F131" s="0" t="s">
        <v>52</v>
      </c>
      <c r="G131" s="0" t="s">
        <v>20</v>
      </c>
      <c r="H131" s="0" t="n">
        <f aca="false">IF(G131=" ALARM",1,0)</f>
        <v>1</v>
      </c>
      <c r="I131" s="0" t="s">
        <v>20</v>
      </c>
      <c r="J131" s="0" t="n">
        <f aca="false">IF(I131=" ALARM",1,0)</f>
        <v>1</v>
      </c>
      <c r="K131" s="0" t="s">
        <v>30</v>
      </c>
      <c r="L131" s="0" t="n">
        <f aca="false">IF(K131=" ALARM",1,0)</f>
        <v>0</v>
      </c>
      <c r="M131" s="0" t="s">
        <v>415</v>
      </c>
      <c r="N131" s="0" t="s">
        <v>416</v>
      </c>
      <c r="O131" s="0" t="s">
        <v>417</v>
      </c>
    </row>
    <row r="132" customFormat="false" ht="12.8" hidden="false" customHeight="false" outlineLevel="0" collapsed="false">
      <c r="A132" s="0" t="n">
        <v>86657</v>
      </c>
      <c r="B132" s="0" t="s">
        <v>418</v>
      </c>
      <c r="C132" s="0" t="s">
        <v>17</v>
      </c>
      <c r="D132" s="0" t="s">
        <v>18</v>
      </c>
      <c r="E132" s="0" t="n">
        <v>39</v>
      </c>
      <c r="F132" s="0" t="s">
        <v>52</v>
      </c>
      <c r="G132" s="0" t="s">
        <v>20</v>
      </c>
      <c r="H132" s="0" t="n">
        <f aca="false">IF(G132=" ALARM",1,0)</f>
        <v>1</v>
      </c>
      <c r="I132" s="0" t="s">
        <v>20</v>
      </c>
      <c r="J132" s="0" t="n">
        <f aca="false">IF(I132=" ALARM",1,0)</f>
        <v>1</v>
      </c>
      <c r="K132" s="0" t="s">
        <v>20</v>
      </c>
      <c r="L132" s="0" t="n">
        <f aca="false">IF(K132=" ALARM",1,0)</f>
        <v>1</v>
      </c>
      <c r="M132" s="0" t="s">
        <v>419</v>
      </c>
      <c r="N132" s="0" t="s">
        <v>420</v>
      </c>
      <c r="O132" s="0" t="s">
        <v>417</v>
      </c>
    </row>
    <row r="133" customFormat="false" ht="12.8" hidden="false" customHeight="false" outlineLevel="0" collapsed="false">
      <c r="A133" s="0" t="n">
        <v>87000</v>
      </c>
      <c r="B133" s="0" t="s">
        <v>421</v>
      </c>
      <c r="C133" s="0" t="s">
        <v>17</v>
      </c>
      <c r="D133" s="0" t="s">
        <v>35</v>
      </c>
      <c r="E133" s="0" t="n">
        <v>693</v>
      </c>
      <c r="F133" s="0" t="s">
        <v>52</v>
      </c>
      <c r="G133" s="0" t="s">
        <v>20</v>
      </c>
      <c r="H133" s="0" t="n">
        <f aca="false">IF(G133=" ALARM",1,0)</f>
        <v>1</v>
      </c>
      <c r="I133" s="0" t="s">
        <v>20</v>
      </c>
      <c r="J133" s="0" t="n">
        <f aca="false">IF(I133=" ALARM",1,0)</f>
        <v>1</v>
      </c>
      <c r="K133" s="0" t="s">
        <v>20</v>
      </c>
      <c r="L133" s="0" t="n">
        <f aca="false">IF(K133=" ALARM",1,0)</f>
        <v>1</v>
      </c>
      <c r="M133" s="0" t="s">
        <v>422</v>
      </c>
      <c r="N133" s="0" t="s">
        <v>423</v>
      </c>
    </row>
    <row r="134" customFormat="false" ht="12.8" hidden="false" customHeight="false" outlineLevel="0" collapsed="false">
      <c r="A134" s="0" t="n">
        <v>87342</v>
      </c>
      <c r="B134" s="0" t="s">
        <v>424</v>
      </c>
      <c r="C134" s="0" t="s">
        <v>17</v>
      </c>
      <c r="D134" s="0" t="s">
        <v>18</v>
      </c>
      <c r="E134" s="0" t="n">
        <v>39</v>
      </c>
      <c r="F134" s="0" t="s">
        <v>52</v>
      </c>
      <c r="G134" s="0" t="s">
        <v>20</v>
      </c>
      <c r="H134" s="0" t="n">
        <f aca="false">IF(G134=" ALARM",1,0)</f>
        <v>1</v>
      </c>
      <c r="I134" s="0" t="s">
        <v>20</v>
      </c>
      <c r="J134" s="0" t="n">
        <f aca="false">IF(I134=" ALARM",1,0)</f>
        <v>1</v>
      </c>
      <c r="K134" s="0" t="s">
        <v>21</v>
      </c>
      <c r="L134" s="0" t="n">
        <f aca="false">IF(K134=" ALARM",1,0)</f>
        <v>0</v>
      </c>
      <c r="M134" s="0" t="s">
        <v>425</v>
      </c>
      <c r="N134" s="0" t="s">
        <v>426</v>
      </c>
      <c r="O134" s="0" t="s">
        <v>427</v>
      </c>
    </row>
    <row r="135" customFormat="false" ht="12.8" hidden="false" customHeight="false" outlineLevel="0" collapsed="false">
      <c r="A135" s="0" t="n">
        <v>89428</v>
      </c>
      <c r="B135" s="0" t="s">
        <v>428</v>
      </c>
      <c r="C135" s="0" t="s">
        <v>17</v>
      </c>
      <c r="D135" s="0" t="s">
        <v>18</v>
      </c>
      <c r="E135" s="0" t="n">
        <v>39</v>
      </c>
      <c r="F135" s="0" t="s">
        <v>52</v>
      </c>
      <c r="G135" s="0" t="s">
        <v>21</v>
      </c>
      <c r="H135" s="0" t="n">
        <f aca="false">IF(G135=" ALARM",1,0)</f>
        <v>0</v>
      </c>
      <c r="I135" s="0" t="s">
        <v>20</v>
      </c>
      <c r="J135" s="0" t="n">
        <f aca="false">IF(I135=" ALARM",1,0)</f>
        <v>1</v>
      </c>
      <c r="K135" s="0" t="s">
        <v>30</v>
      </c>
      <c r="L135" s="0" t="n">
        <f aca="false">IF(K135=" ALARM",1,0)</f>
        <v>0</v>
      </c>
      <c r="M135" s="0" t="s">
        <v>119</v>
      </c>
      <c r="N135" s="0" t="s">
        <v>429</v>
      </c>
      <c r="O135" s="0" t="s">
        <v>430</v>
      </c>
    </row>
    <row r="136" customFormat="false" ht="12.8" hidden="false" customHeight="false" outlineLevel="0" collapsed="false">
      <c r="A136" s="0" t="n">
        <v>89902</v>
      </c>
      <c r="B136" s="0" t="s">
        <v>431</v>
      </c>
      <c r="C136" s="0" t="s">
        <v>17</v>
      </c>
      <c r="D136" s="0" t="s">
        <v>18</v>
      </c>
      <c r="E136" s="0" t="n">
        <v>39</v>
      </c>
      <c r="F136" s="0" t="s">
        <v>52</v>
      </c>
      <c r="G136" s="0" t="s">
        <v>20</v>
      </c>
      <c r="H136" s="0" t="n">
        <f aca="false">IF(G136=" ALARM",1,0)</f>
        <v>1</v>
      </c>
      <c r="I136" s="0" t="s">
        <v>20</v>
      </c>
      <c r="J136" s="0" t="n">
        <f aca="false">IF(I136=" ALARM",1,0)</f>
        <v>1</v>
      </c>
      <c r="K136" s="0" t="s">
        <v>21</v>
      </c>
      <c r="L136" s="0" t="n">
        <f aca="false">IF(K136=" ALARM",1,0)</f>
        <v>0</v>
      </c>
      <c r="M136" s="0" t="s">
        <v>432</v>
      </c>
      <c r="N136" s="0" t="s">
        <v>433</v>
      </c>
      <c r="O136" s="0" t="s">
        <v>434</v>
      </c>
    </row>
    <row r="137" customFormat="false" ht="12.8" hidden="false" customHeight="false" outlineLevel="0" collapsed="false">
      <c r="A137" s="0" t="n">
        <v>90721</v>
      </c>
      <c r="B137" s="0" t="s">
        <v>435</v>
      </c>
      <c r="C137" s="0" t="s">
        <v>17</v>
      </c>
      <c r="D137" s="0" t="s">
        <v>35</v>
      </c>
      <c r="E137" s="0" t="n">
        <v>39</v>
      </c>
      <c r="F137" s="0" t="s">
        <v>52</v>
      </c>
      <c r="G137" s="0" t="s">
        <v>20</v>
      </c>
      <c r="H137" s="0" t="n">
        <f aca="false">IF(G137=" ALARM",1,0)</f>
        <v>1</v>
      </c>
      <c r="I137" s="0" t="s">
        <v>20</v>
      </c>
      <c r="J137" s="0" t="n">
        <f aca="false">IF(I137=" ALARM",1,0)</f>
        <v>1</v>
      </c>
      <c r="K137" s="0" t="s">
        <v>30</v>
      </c>
      <c r="L137" s="0" t="n">
        <f aca="false">IF(K137=" ALARM",1,0)</f>
        <v>0</v>
      </c>
      <c r="M137" s="0" t="s">
        <v>436</v>
      </c>
      <c r="N137" s="0" t="s">
        <v>437</v>
      </c>
      <c r="O137" s="0" t="s">
        <v>438</v>
      </c>
    </row>
    <row r="138" customFormat="false" ht="12.8" hidden="false" customHeight="false" outlineLevel="0" collapsed="false">
      <c r="A138" s="0" t="n">
        <v>89522</v>
      </c>
      <c r="B138" s="0" t="s">
        <v>439</v>
      </c>
      <c r="C138" s="0" t="s">
        <v>17</v>
      </c>
      <c r="D138" s="0" t="s">
        <v>35</v>
      </c>
      <c r="E138" s="0" t="n">
        <v>694</v>
      </c>
      <c r="F138" s="0" t="s">
        <v>52</v>
      </c>
      <c r="G138" s="0" t="s">
        <v>21</v>
      </c>
      <c r="H138" s="0" t="n">
        <f aca="false">IF(G138=" ALARM",1,0)</f>
        <v>0</v>
      </c>
      <c r="I138" s="0" t="s">
        <v>21</v>
      </c>
      <c r="J138" s="0" t="n">
        <f aca="false">IF(I138=" ALARM",1,0)</f>
        <v>0</v>
      </c>
      <c r="K138" s="0" t="s">
        <v>20</v>
      </c>
      <c r="L138" s="0" t="n">
        <f aca="false">IF(K138=" ALARM",1,0)</f>
        <v>1</v>
      </c>
      <c r="M138" s="0" t="s">
        <v>440</v>
      </c>
      <c r="N138" s="0" t="s">
        <v>440</v>
      </c>
      <c r="O138" s="0" t="s">
        <v>441</v>
      </c>
    </row>
    <row r="139" customFormat="false" ht="12.8" hidden="false" customHeight="false" outlineLevel="0" collapsed="false">
      <c r="A139" s="0" t="n">
        <v>91293</v>
      </c>
      <c r="B139" s="0" t="s">
        <v>442</v>
      </c>
      <c r="C139" s="0" t="s">
        <v>17</v>
      </c>
      <c r="D139" s="0" t="s">
        <v>18</v>
      </c>
      <c r="E139" s="0" t="n">
        <v>718</v>
      </c>
      <c r="F139" s="0" t="s">
        <v>52</v>
      </c>
      <c r="G139" s="0" t="s">
        <v>21</v>
      </c>
      <c r="H139" s="0" t="n">
        <f aca="false">IF(G139=" ALARM",1,0)</f>
        <v>0</v>
      </c>
      <c r="I139" s="0" t="s">
        <v>21</v>
      </c>
      <c r="J139" s="0" t="n">
        <f aca="false">IF(I139=" ALARM",1,0)</f>
        <v>0</v>
      </c>
      <c r="K139" s="0" t="s">
        <v>20</v>
      </c>
      <c r="L139" s="0" t="n">
        <f aca="false">IF(K139=" ALARM",1,0)</f>
        <v>1</v>
      </c>
      <c r="M139" s="0" t="s">
        <v>440</v>
      </c>
      <c r="N139" s="0" t="s">
        <v>440</v>
      </c>
      <c r="O139" s="0" t="s">
        <v>443</v>
      </c>
    </row>
    <row r="140" customFormat="false" ht="12.8" hidden="false" customHeight="false" outlineLevel="0" collapsed="false">
      <c r="A140" s="0" t="n">
        <v>91179</v>
      </c>
      <c r="B140" s="0" t="s">
        <v>444</v>
      </c>
      <c r="C140" s="0" t="s">
        <v>17</v>
      </c>
      <c r="D140" s="0" t="s">
        <v>97</v>
      </c>
      <c r="E140" s="0" t="n">
        <v>718</v>
      </c>
      <c r="F140" s="0" t="s">
        <v>52</v>
      </c>
      <c r="G140" s="0" t="s">
        <v>21</v>
      </c>
      <c r="H140" s="0" t="n">
        <f aca="false">IF(G140=" ALARM",1,0)</f>
        <v>0</v>
      </c>
      <c r="I140" s="0" t="s">
        <v>21</v>
      </c>
      <c r="J140" s="0" t="n">
        <f aca="false">IF(I140=" ALARM",1,0)</f>
        <v>0</v>
      </c>
      <c r="K140" s="0" t="s">
        <v>20</v>
      </c>
      <c r="L140" s="0" t="n">
        <f aca="false">IF(K140=" ALARM",1,0)</f>
        <v>1</v>
      </c>
      <c r="M140" s="0" t="s">
        <v>249</v>
      </c>
      <c r="N140" s="0" t="s">
        <v>249</v>
      </c>
    </row>
    <row r="141" customFormat="false" ht="12.8" hidden="false" customHeight="false" outlineLevel="0" collapsed="false">
      <c r="A141" s="0" t="n">
        <v>98163</v>
      </c>
      <c r="B141" s="0" t="s">
        <v>445</v>
      </c>
      <c r="C141" s="0" t="s">
        <v>17</v>
      </c>
      <c r="D141" s="0" t="s">
        <v>35</v>
      </c>
      <c r="E141" s="0" t="n">
        <v>39</v>
      </c>
      <c r="F141" s="0" t="s">
        <v>52</v>
      </c>
      <c r="G141" s="0" t="s">
        <v>20</v>
      </c>
      <c r="H141" s="0" t="n">
        <f aca="false">IF(G141=" ALARM",1,0)</f>
        <v>1</v>
      </c>
      <c r="I141" s="0" t="s">
        <v>20</v>
      </c>
      <c r="J141" s="0" t="n">
        <f aca="false">IF(I141=" ALARM",1,0)</f>
        <v>1</v>
      </c>
      <c r="K141" s="0" t="s">
        <v>20</v>
      </c>
      <c r="L141" s="0" t="n">
        <f aca="false">IF(K141=" ALARM",1,0)</f>
        <v>1</v>
      </c>
      <c r="M141" s="0" t="s">
        <v>446</v>
      </c>
      <c r="N141" s="0" t="s">
        <v>447</v>
      </c>
      <c r="O141" s="0" t="s">
        <v>448</v>
      </c>
    </row>
    <row r="142" customFormat="false" ht="12.8" hidden="false" customHeight="false" outlineLevel="0" collapsed="false">
      <c r="A142" s="0" t="n">
        <v>98167</v>
      </c>
      <c r="B142" s="0" t="s">
        <v>449</v>
      </c>
      <c r="C142" s="0" t="s">
        <v>17</v>
      </c>
      <c r="D142" s="0" t="s">
        <v>35</v>
      </c>
      <c r="E142" s="0" t="n">
        <v>39</v>
      </c>
      <c r="F142" s="0" t="s">
        <v>52</v>
      </c>
      <c r="G142" s="0" t="s">
        <v>20</v>
      </c>
      <c r="H142" s="0" t="n">
        <f aca="false">IF(G142=" ALARM",1,0)</f>
        <v>1</v>
      </c>
      <c r="I142" s="0" t="s">
        <v>20</v>
      </c>
      <c r="J142" s="0" t="n">
        <f aca="false">IF(I142=" ALARM",1,0)</f>
        <v>1</v>
      </c>
      <c r="K142" s="0" t="s">
        <v>20</v>
      </c>
      <c r="L142" s="0" t="n">
        <f aca="false">IF(K142=" ALARM",1,0)</f>
        <v>1</v>
      </c>
      <c r="M142" s="0" t="s">
        <v>450</v>
      </c>
      <c r="N142" s="0" t="s">
        <v>451</v>
      </c>
      <c r="O142" s="0" t="s">
        <v>452</v>
      </c>
    </row>
    <row r="143" customFormat="false" ht="12.8" hidden="false" customHeight="false" outlineLevel="0" collapsed="false">
      <c r="A143" s="0" t="n">
        <v>97878</v>
      </c>
      <c r="B143" s="0" t="s">
        <v>453</v>
      </c>
      <c r="C143" s="0" t="s">
        <v>17</v>
      </c>
      <c r="D143" s="0" t="s">
        <v>35</v>
      </c>
      <c r="E143" s="0" t="n">
        <v>733</v>
      </c>
      <c r="F143" s="0" t="s">
        <v>52</v>
      </c>
      <c r="G143" s="0" t="s">
        <v>20</v>
      </c>
      <c r="H143" s="0" t="n">
        <f aca="false">IF(G143=" ALARM",1,0)</f>
        <v>1</v>
      </c>
      <c r="I143" s="0" t="s">
        <v>20</v>
      </c>
      <c r="J143" s="0" t="n">
        <f aca="false">IF(I143=" ALARM",1,0)</f>
        <v>1</v>
      </c>
      <c r="K143" s="0" t="s">
        <v>20</v>
      </c>
      <c r="L143" s="0" t="n">
        <f aca="false">IF(K143=" ALARM",1,0)</f>
        <v>1</v>
      </c>
      <c r="M143" s="0" t="s">
        <v>454</v>
      </c>
      <c r="N143" s="0" t="s">
        <v>455</v>
      </c>
    </row>
    <row r="144" customFormat="false" ht="12.8" hidden="false" customHeight="false" outlineLevel="0" collapsed="false">
      <c r="A144" s="0" t="n">
        <v>97893</v>
      </c>
      <c r="B144" s="0" t="s">
        <v>456</v>
      </c>
      <c r="C144" s="0" t="s">
        <v>17</v>
      </c>
      <c r="D144" s="0" t="s">
        <v>35</v>
      </c>
      <c r="E144" s="0" t="n">
        <v>733</v>
      </c>
      <c r="F144" s="0" t="s">
        <v>52</v>
      </c>
      <c r="G144" s="0" t="s">
        <v>20</v>
      </c>
      <c r="H144" s="0" t="n">
        <f aca="false">IF(G144=" ALARM",1,0)</f>
        <v>1</v>
      </c>
      <c r="I144" s="0" t="s">
        <v>20</v>
      </c>
      <c r="J144" s="0" t="n">
        <f aca="false">IF(I144=" ALARM",1,0)</f>
        <v>1</v>
      </c>
      <c r="K144" s="0" t="s">
        <v>20</v>
      </c>
      <c r="L144" s="0" t="n">
        <f aca="false">IF(K144=" ALARM",1,0)</f>
        <v>1</v>
      </c>
      <c r="M144" s="0" t="s">
        <v>457</v>
      </c>
      <c r="N144" s="0" t="s">
        <v>458</v>
      </c>
    </row>
    <row r="145" customFormat="false" ht="12.8" hidden="false" customHeight="false" outlineLevel="0" collapsed="false">
      <c r="A145" s="0" t="n">
        <v>104899</v>
      </c>
      <c r="B145" s="0" t="s">
        <v>459</v>
      </c>
      <c r="C145" s="0" t="s">
        <v>17</v>
      </c>
      <c r="D145" s="0" t="s">
        <v>18</v>
      </c>
      <c r="E145" s="0" t="n">
        <v>39</v>
      </c>
      <c r="F145" s="0" t="s">
        <v>52</v>
      </c>
      <c r="G145" s="0" t="s">
        <v>20</v>
      </c>
      <c r="H145" s="0" t="n">
        <f aca="false">IF(G145=" ALARM",1,0)</f>
        <v>1</v>
      </c>
      <c r="I145" s="0" t="s">
        <v>20</v>
      </c>
      <c r="J145" s="0" t="n">
        <f aca="false">IF(I145=" ALARM",1,0)</f>
        <v>1</v>
      </c>
      <c r="K145" s="0" t="s">
        <v>20</v>
      </c>
      <c r="L145" s="0" t="n">
        <f aca="false">IF(K145=" ALARM",1,0)</f>
        <v>1</v>
      </c>
      <c r="M145" s="0" t="s">
        <v>460</v>
      </c>
      <c r="N145" s="0" t="s">
        <v>461</v>
      </c>
      <c r="O145" s="0" t="s">
        <v>462</v>
      </c>
    </row>
    <row r="146" customFormat="false" ht="12.8" hidden="false" customHeight="false" outlineLevel="0" collapsed="false">
      <c r="A146" s="0" t="n">
        <v>115492</v>
      </c>
      <c r="B146" s="0" t="s">
        <v>463</v>
      </c>
      <c r="C146" s="0" t="s">
        <v>17</v>
      </c>
      <c r="D146" s="0" t="s">
        <v>18</v>
      </c>
      <c r="E146" s="0" t="n">
        <v>39</v>
      </c>
      <c r="F146" s="0" t="s">
        <v>52</v>
      </c>
      <c r="G146" s="0" t="s">
        <v>21</v>
      </c>
      <c r="H146" s="0" t="n">
        <f aca="false">IF(G146=" ALARM",1,0)</f>
        <v>0</v>
      </c>
      <c r="I146" s="0" t="s">
        <v>20</v>
      </c>
      <c r="J146" s="0" t="n">
        <f aca="false">IF(I146=" ALARM",1,0)</f>
        <v>1</v>
      </c>
      <c r="K146" s="0" t="s">
        <v>21</v>
      </c>
      <c r="L146" s="0" t="n">
        <f aca="false">IF(K146=" ALARM",1,0)</f>
        <v>0</v>
      </c>
      <c r="M146" s="0" t="s">
        <v>119</v>
      </c>
      <c r="N146" s="0" t="s">
        <v>464</v>
      </c>
      <c r="O146" s="0" t="s">
        <v>465</v>
      </c>
    </row>
    <row r="147" customFormat="false" ht="12.8" hidden="false" customHeight="false" outlineLevel="0" collapsed="false">
      <c r="A147" s="0" t="n">
        <v>118683</v>
      </c>
      <c r="B147" s="0" t="s">
        <v>466</v>
      </c>
      <c r="C147" s="0" t="s">
        <v>17</v>
      </c>
      <c r="D147" s="0" t="s">
        <v>18</v>
      </c>
      <c r="E147" s="0" t="n">
        <v>39</v>
      </c>
      <c r="F147" s="0" t="s">
        <v>52</v>
      </c>
      <c r="G147" s="0" t="s">
        <v>20</v>
      </c>
      <c r="H147" s="0" t="n">
        <f aca="false">IF(G147=" ALARM",1,0)</f>
        <v>1</v>
      </c>
      <c r="I147" s="0" t="s">
        <v>20</v>
      </c>
      <c r="J147" s="0" t="n">
        <f aca="false">IF(I147=" ALARM",1,0)</f>
        <v>1</v>
      </c>
      <c r="K147" s="0" t="s">
        <v>20</v>
      </c>
      <c r="L147" s="0" t="n">
        <f aca="false">IF(K147=" ALARM",1,0)</f>
        <v>1</v>
      </c>
      <c r="M147" s="0" t="s">
        <v>467</v>
      </c>
      <c r="N147" s="0" t="s">
        <v>468</v>
      </c>
      <c r="O147" s="0" t="s">
        <v>469</v>
      </c>
    </row>
    <row r="148" customFormat="false" ht="12.8" hidden="false" customHeight="false" outlineLevel="0" collapsed="false">
      <c r="A148" s="0" t="n">
        <v>118687</v>
      </c>
      <c r="B148" s="0" t="s">
        <v>470</v>
      </c>
      <c r="C148" s="0" t="s">
        <v>17</v>
      </c>
      <c r="D148" s="0" t="s">
        <v>18</v>
      </c>
      <c r="E148" s="0" t="n">
        <v>39</v>
      </c>
      <c r="F148" s="0" t="s">
        <v>52</v>
      </c>
      <c r="G148" s="0" t="s">
        <v>20</v>
      </c>
      <c r="H148" s="0" t="n">
        <f aca="false">IF(G148=" ALARM",1,0)</f>
        <v>1</v>
      </c>
      <c r="I148" s="0" t="s">
        <v>20</v>
      </c>
      <c r="J148" s="0" t="n">
        <f aca="false">IF(I148=" ALARM",1,0)</f>
        <v>1</v>
      </c>
      <c r="K148" s="0" t="s">
        <v>20</v>
      </c>
      <c r="L148" s="0" t="n">
        <f aca="false">IF(K148=" ALARM",1,0)</f>
        <v>1</v>
      </c>
      <c r="M148" s="0" t="s">
        <v>31</v>
      </c>
      <c r="N148" s="0" t="s">
        <v>471</v>
      </c>
      <c r="O148" s="0" t="s">
        <v>472</v>
      </c>
    </row>
    <row r="149" customFormat="false" ht="12.8" hidden="false" customHeight="false" outlineLevel="0" collapsed="false">
      <c r="A149" s="0" t="n">
        <v>121437</v>
      </c>
      <c r="B149" s="0" t="s">
        <v>473</v>
      </c>
      <c r="C149" s="0" t="s">
        <v>17</v>
      </c>
      <c r="D149" s="0" t="s">
        <v>18</v>
      </c>
      <c r="E149" s="0" t="n">
        <v>39</v>
      </c>
      <c r="F149" s="0" t="s">
        <v>52</v>
      </c>
      <c r="G149" s="0" t="s">
        <v>20</v>
      </c>
      <c r="H149" s="0" t="n">
        <f aca="false">IF(G149=" ALARM",1,0)</f>
        <v>1</v>
      </c>
      <c r="I149" s="0" t="s">
        <v>20</v>
      </c>
      <c r="J149" s="0" t="n">
        <f aca="false">IF(I149=" ALARM",1,0)</f>
        <v>1</v>
      </c>
      <c r="K149" s="0" t="s">
        <v>21</v>
      </c>
      <c r="L149" s="0" t="n">
        <f aca="false">IF(K149=" ALARM",1,0)</f>
        <v>0</v>
      </c>
      <c r="M149" s="0" t="s">
        <v>474</v>
      </c>
      <c r="N149" s="0" t="s">
        <v>475</v>
      </c>
      <c r="O149" s="0" t="s">
        <v>476</v>
      </c>
    </row>
    <row r="150" customFormat="false" ht="12.8" hidden="false" customHeight="false" outlineLevel="0" collapsed="false">
      <c r="A150" s="0" t="n">
        <v>128281</v>
      </c>
      <c r="B150" s="0" t="s">
        <v>477</v>
      </c>
      <c r="C150" s="0" t="s">
        <v>17</v>
      </c>
      <c r="D150" s="0" t="s">
        <v>18</v>
      </c>
      <c r="E150" s="0" t="n">
        <v>39</v>
      </c>
      <c r="F150" s="0" t="s">
        <v>52</v>
      </c>
      <c r="G150" s="0" t="s">
        <v>20</v>
      </c>
      <c r="H150" s="0" t="n">
        <f aca="false">IF(G150=" ALARM",1,0)</f>
        <v>1</v>
      </c>
      <c r="I150" s="0" t="s">
        <v>20</v>
      </c>
      <c r="J150" s="0" t="n">
        <f aca="false">IF(I150=" ALARM",1,0)</f>
        <v>1</v>
      </c>
      <c r="K150" s="0" t="s">
        <v>20</v>
      </c>
      <c r="L150" s="0" t="n">
        <f aca="false">IF(K150=" ALARM",1,0)</f>
        <v>1</v>
      </c>
      <c r="M150" s="0" t="s">
        <v>478</v>
      </c>
      <c r="N150" s="0" t="s">
        <v>479</v>
      </c>
      <c r="O150" s="0" t="s">
        <v>480</v>
      </c>
    </row>
    <row r="151" customFormat="false" ht="12.8" hidden="false" customHeight="false" outlineLevel="0" collapsed="false">
      <c r="A151" s="0" t="n">
        <v>139198</v>
      </c>
      <c r="B151" s="0" t="s">
        <v>481</v>
      </c>
      <c r="C151" s="0" t="s">
        <v>17</v>
      </c>
      <c r="D151" s="0" t="s">
        <v>18</v>
      </c>
      <c r="E151" s="0" t="n">
        <v>39</v>
      </c>
      <c r="F151" s="0" t="s">
        <v>52</v>
      </c>
      <c r="G151" s="0" t="s">
        <v>20</v>
      </c>
      <c r="H151" s="0" t="n">
        <f aca="false">IF(G151=" ALARM",1,0)</f>
        <v>1</v>
      </c>
      <c r="I151" s="0" t="s">
        <v>20</v>
      </c>
      <c r="J151" s="0" t="n">
        <f aca="false">IF(I151=" ALARM",1,0)</f>
        <v>1</v>
      </c>
      <c r="K151" s="0" t="s">
        <v>30</v>
      </c>
      <c r="L151" s="0" t="n">
        <f aca="false">IF(K151=" ALARM",1,0)</f>
        <v>0</v>
      </c>
      <c r="M151" s="0" t="s">
        <v>482</v>
      </c>
      <c r="N151" s="0" t="s">
        <v>483</v>
      </c>
      <c r="O151" s="0" t="s">
        <v>484</v>
      </c>
    </row>
    <row r="152" customFormat="false" ht="12.8" hidden="false" customHeight="false" outlineLevel="0" collapsed="false">
      <c r="A152" s="0" t="n">
        <v>144990</v>
      </c>
      <c r="B152" s="0" t="s">
        <v>485</v>
      </c>
      <c r="C152" s="0" t="s">
        <v>17</v>
      </c>
      <c r="D152" s="0" t="s">
        <v>35</v>
      </c>
      <c r="E152" s="0" t="n">
        <v>39</v>
      </c>
      <c r="F152" s="0" t="s">
        <v>52</v>
      </c>
      <c r="G152" s="0" t="s">
        <v>20</v>
      </c>
      <c r="H152" s="0" t="n">
        <f aca="false">IF(G152=" ALARM",1,0)</f>
        <v>1</v>
      </c>
      <c r="I152" s="0" t="s">
        <v>20</v>
      </c>
      <c r="J152" s="0" t="n">
        <f aca="false">IF(I152=" ALARM",1,0)</f>
        <v>1</v>
      </c>
      <c r="K152" s="0" t="s">
        <v>20</v>
      </c>
      <c r="L152" s="0" t="n">
        <f aca="false">IF(K152=" ALARM",1,0)</f>
        <v>1</v>
      </c>
      <c r="M152" s="0" t="s">
        <v>486</v>
      </c>
      <c r="N152" s="0" t="s">
        <v>487</v>
      </c>
      <c r="O152" s="0" t="s">
        <v>488</v>
      </c>
    </row>
    <row r="153" customFormat="false" ht="12.8" hidden="false" customHeight="false" outlineLevel="0" collapsed="false">
      <c r="A153" s="0" t="n">
        <v>147358</v>
      </c>
      <c r="B153" s="0" t="s">
        <v>489</v>
      </c>
      <c r="C153" s="0" t="s">
        <v>17</v>
      </c>
      <c r="D153" s="0" t="s">
        <v>18</v>
      </c>
      <c r="E153" s="0" t="n">
        <v>39</v>
      </c>
      <c r="F153" s="0" t="s">
        <v>490</v>
      </c>
      <c r="G153" s="0" t="s">
        <v>20</v>
      </c>
      <c r="H153" s="0" t="n">
        <f aca="false">IF(G153=" ALARM",1,0)</f>
        <v>1</v>
      </c>
      <c r="I153" s="0" t="s">
        <v>20</v>
      </c>
      <c r="J153" s="0" t="n">
        <f aca="false">IF(I153=" ALARM",1,0)</f>
        <v>1</v>
      </c>
      <c r="K153" s="0" t="s">
        <v>21</v>
      </c>
      <c r="L153" s="0" t="n">
        <f aca="false">IF(K153=" ALARM",1,0)</f>
        <v>0</v>
      </c>
      <c r="M153" s="0" t="s">
        <v>491</v>
      </c>
      <c r="N153" s="0" t="s">
        <v>492</v>
      </c>
      <c r="O153" s="0" t="s">
        <v>493</v>
      </c>
    </row>
    <row r="154" customFormat="false" ht="12.8" hidden="false" customHeight="false" outlineLevel="0" collapsed="false">
      <c r="A154" s="0" t="n">
        <v>147357</v>
      </c>
      <c r="B154" s="0" t="s">
        <v>494</v>
      </c>
      <c r="C154" s="0" t="s">
        <v>17</v>
      </c>
      <c r="D154" s="0" t="s">
        <v>18</v>
      </c>
      <c r="E154" s="0" t="n">
        <v>39</v>
      </c>
      <c r="F154" s="0" t="s">
        <v>490</v>
      </c>
      <c r="G154" s="0" t="s">
        <v>30</v>
      </c>
      <c r="H154" s="0" t="n">
        <f aca="false">IF(G154=" ALARM",1,0)</f>
        <v>0</v>
      </c>
      <c r="I154" s="0" t="s">
        <v>20</v>
      </c>
      <c r="J154" s="0" t="n">
        <f aca="false">IF(I154=" ALARM",1,0)</f>
        <v>1</v>
      </c>
      <c r="K154" s="0" t="s">
        <v>30</v>
      </c>
      <c r="L154" s="0" t="n">
        <f aca="false">IF(K154=" ALARM",1,0)</f>
        <v>0</v>
      </c>
      <c r="M154" s="0" t="s">
        <v>495</v>
      </c>
      <c r="N154" s="0" t="s">
        <v>496</v>
      </c>
      <c r="O154" s="0" t="s">
        <v>497</v>
      </c>
    </row>
    <row r="155" customFormat="false" ht="12.8" hidden="false" customHeight="false" outlineLevel="0" collapsed="false">
      <c r="A155" s="0" t="n">
        <v>135637</v>
      </c>
      <c r="B155" s="0" t="s">
        <v>498</v>
      </c>
      <c r="C155" s="0" t="s">
        <v>17</v>
      </c>
      <c r="D155" s="0" t="s">
        <v>97</v>
      </c>
      <c r="E155" s="0" t="n">
        <v>487</v>
      </c>
      <c r="F155" s="0" t="s">
        <v>52</v>
      </c>
      <c r="G155" s="0" t="s">
        <v>21</v>
      </c>
      <c r="H155" s="0" t="n">
        <f aca="false">IF(G155=" ALARM",1,0)</f>
        <v>0</v>
      </c>
      <c r="I155" s="0" t="s">
        <v>21</v>
      </c>
      <c r="J155" s="0" t="n">
        <f aca="false">IF(I155=" ALARM",1,0)</f>
        <v>0</v>
      </c>
      <c r="K155" s="0" t="s">
        <v>20</v>
      </c>
      <c r="L155" s="0" t="n">
        <f aca="false">IF(K155=" ALARM",1,0)</f>
        <v>1</v>
      </c>
      <c r="M155" s="0" t="s">
        <v>69</v>
      </c>
      <c r="N155" s="0" t="s">
        <v>69</v>
      </c>
      <c r="O155" s="0" t="s">
        <v>499</v>
      </c>
    </row>
    <row r="156" customFormat="false" ht="12.8" hidden="false" customHeight="false" outlineLevel="0" collapsed="false">
      <c r="A156" s="0" t="n">
        <v>135673</v>
      </c>
      <c r="B156" s="0" t="s">
        <v>500</v>
      </c>
      <c r="C156" s="0" t="s">
        <v>17</v>
      </c>
      <c r="D156" s="0" t="s">
        <v>18</v>
      </c>
      <c r="E156" s="0" t="n">
        <v>487</v>
      </c>
      <c r="F156" s="0" t="s">
        <v>52</v>
      </c>
      <c r="G156" s="0" t="s">
        <v>20</v>
      </c>
      <c r="H156" s="0" t="n">
        <f aca="false">IF(G156=" ALARM",1,0)</f>
        <v>1</v>
      </c>
      <c r="I156" s="0" t="s">
        <v>20</v>
      </c>
      <c r="J156" s="0" t="n">
        <f aca="false">IF(I156=" ALARM",1,0)</f>
        <v>1</v>
      </c>
      <c r="K156" s="0" t="s">
        <v>20</v>
      </c>
      <c r="L156" s="0" t="n">
        <f aca="false">IF(K156=" ALARM",1,0)</f>
        <v>1</v>
      </c>
      <c r="M156" s="0" t="s">
        <v>501</v>
      </c>
      <c r="N156" s="0" t="s">
        <v>502</v>
      </c>
    </row>
    <row r="157" customFormat="false" ht="12.8" hidden="false" customHeight="false" outlineLevel="0" collapsed="false">
      <c r="A157" s="0" t="n">
        <v>135878</v>
      </c>
      <c r="B157" s="0" t="s">
        <v>503</v>
      </c>
      <c r="C157" s="0" t="s">
        <v>17</v>
      </c>
      <c r="D157" s="0" t="s">
        <v>35</v>
      </c>
      <c r="E157" s="0" t="n">
        <v>487</v>
      </c>
      <c r="F157" s="0" t="s">
        <v>52</v>
      </c>
      <c r="G157" s="0" t="s">
        <v>21</v>
      </c>
      <c r="H157" s="0" t="n">
        <f aca="false">IF(G157=" ALARM",1,0)</f>
        <v>0</v>
      </c>
      <c r="I157" s="0" t="s">
        <v>20</v>
      </c>
      <c r="J157" s="0" t="n">
        <f aca="false">IF(I157=" ALARM",1,0)</f>
        <v>1</v>
      </c>
      <c r="K157" s="0" t="s">
        <v>20</v>
      </c>
      <c r="L157" s="0" t="n">
        <f aca="false">IF(K157=" ALARM",1,0)</f>
        <v>1</v>
      </c>
      <c r="M157" s="0" t="s">
        <v>69</v>
      </c>
      <c r="N157" s="0" t="s">
        <v>504</v>
      </c>
    </row>
    <row r="158" customFormat="false" ht="12.8" hidden="false" customHeight="false" outlineLevel="0" collapsed="false">
      <c r="A158" s="0" t="n">
        <v>135888</v>
      </c>
      <c r="B158" s="0" t="s">
        <v>505</v>
      </c>
      <c r="C158" s="0" t="s">
        <v>17</v>
      </c>
      <c r="D158" s="0" t="s">
        <v>18</v>
      </c>
      <c r="E158" s="0" t="n">
        <v>487</v>
      </c>
      <c r="F158" s="0" t="s">
        <v>52</v>
      </c>
      <c r="G158" s="0" t="s">
        <v>20</v>
      </c>
      <c r="H158" s="0" t="n">
        <f aca="false">IF(G158=" ALARM",1,0)</f>
        <v>1</v>
      </c>
      <c r="I158" s="0" t="s">
        <v>20</v>
      </c>
      <c r="J158" s="0" t="n">
        <f aca="false">IF(I158=" ALARM",1,0)</f>
        <v>1</v>
      </c>
      <c r="K158" s="0" t="s">
        <v>20</v>
      </c>
      <c r="L158" s="0" t="n">
        <f aca="false">IF(K158=" ALARM",1,0)</f>
        <v>1</v>
      </c>
      <c r="M158" s="0" t="s">
        <v>506</v>
      </c>
      <c r="N158" s="0" t="s">
        <v>507</v>
      </c>
      <c r="O158" s="0" t="s">
        <v>508</v>
      </c>
    </row>
    <row r="159" customFormat="false" ht="12.8" hidden="false" customHeight="false" outlineLevel="0" collapsed="false">
      <c r="A159" s="0" t="n">
        <v>135923</v>
      </c>
      <c r="B159" s="0" t="s">
        <v>509</v>
      </c>
      <c r="C159" s="0" t="s">
        <v>17</v>
      </c>
      <c r="D159" s="0" t="s">
        <v>97</v>
      </c>
      <c r="E159" s="0" t="n">
        <v>487</v>
      </c>
      <c r="F159" s="0" t="s">
        <v>52</v>
      </c>
      <c r="G159" s="0" t="s">
        <v>21</v>
      </c>
      <c r="H159" s="0" t="n">
        <f aca="false">IF(G159=" ALARM",1,0)</f>
        <v>0</v>
      </c>
      <c r="I159" s="0" t="s">
        <v>21</v>
      </c>
      <c r="J159" s="0" t="n">
        <f aca="false">IF(I159=" ALARM",1,0)</f>
        <v>0</v>
      </c>
      <c r="K159" s="0" t="s">
        <v>20</v>
      </c>
      <c r="L159" s="0" t="n">
        <f aca="false">IF(K159=" ALARM",1,0)</f>
        <v>1</v>
      </c>
      <c r="M159" s="0" t="s">
        <v>510</v>
      </c>
      <c r="N159" s="0" t="s">
        <v>510</v>
      </c>
    </row>
    <row r="160" customFormat="false" ht="12.8" hidden="false" customHeight="false" outlineLevel="0" collapsed="false">
      <c r="A160" s="0" t="n">
        <v>146771</v>
      </c>
      <c r="B160" s="0" t="s">
        <v>511</v>
      </c>
      <c r="C160" s="0" t="s">
        <v>17</v>
      </c>
      <c r="D160" s="0" t="s">
        <v>97</v>
      </c>
      <c r="E160" s="0" t="n">
        <v>487</v>
      </c>
      <c r="F160" s="0" t="s">
        <v>52</v>
      </c>
      <c r="G160" s="0" t="s">
        <v>21</v>
      </c>
      <c r="H160" s="0" t="n">
        <f aca="false">IF(G160=" ALARM",1,0)</f>
        <v>0</v>
      </c>
      <c r="I160" s="0" t="s">
        <v>21</v>
      </c>
      <c r="J160" s="0" t="n">
        <f aca="false">IF(I160=" ALARM",1,0)</f>
        <v>0</v>
      </c>
      <c r="K160" s="0" t="s">
        <v>30</v>
      </c>
      <c r="L160" s="0" t="n">
        <f aca="false">IF(K160=" ALARM",1,0)</f>
        <v>0</v>
      </c>
      <c r="M160" s="0" t="s">
        <v>512</v>
      </c>
      <c r="N160" s="0" t="s">
        <v>512</v>
      </c>
    </row>
    <row r="161" customFormat="false" ht="12.8" hidden="false" customHeight="false" outlineLevel="0" collapsed="false">
      <c r="A161" s="0" t="n">
        <v>146991</v>
      </c>
      <c r="B161" s="0" t="s">
        <v>513</v>
      </c>
      <c r="C161" s="0" t="s">
        <v>17</v>
      </c>
      <c r="D161" s="0" t="s">
        <v>35</v>
      </c>
      <c r="E161" s="0" t="n">
        <v>487</v>
      </c>
      <c r="F161" s="0" t="s">
        <v>52</v>
      </c>
      <c r="G161" s="0" t="s">
        <v>21</v>
      </c>
      <c r="H161" s="0" t="n">
        <f aca="false">IF(G161=" ALARM",1,0)</f>
        <v>0</v>
      </c>
      <c r="I161" s="0" t="s">
        <v>21</v>
      </c>
      <c r="J161" s="0" t="n">
        <f aca="false">IF(I161=" ALARM",1,0)</f>
        <v>0</v>
      </c>
      <c r="K161" s="0" t="s">
        <v>30</v>
      </c>
      <c r="L161" s="0" t="n">
        <f aca="false">IF(K161=" ALARM",1,0)</f>
        <v>0</v>
      </c>
      <c r="M161" s="0" t="s">
        <v>119</v>
      </c>
      <c r="N161" s="0" t="s">
        <v>119</v>
      </c>
    </row>
    <row r="162" customFormat="false" ht="12.8" hidden="false" customHeight="false" outlineLevel="0" collapsed="false">
      <c r="A162" s="0" t="n">
        <v>147001</v>
      </c>
      <c r="B162" s="0" t="s">
        <v>514</v>
      </c>
      <c r="C162" s="0" t="s">
        <v>17</v>
      </c>
      <c r="D162" s="0" t="s">
        <v>97</v>
      </c>
      <c r="E162" s="0" t="n">
        <v>487</v>
      </c>
      <c r="F162" s="0" t="s">
        <v>52</v>
      </c>
      <c r="G162" s="0" t="s">
        <v>21</v>
      </c>
      <c r="H162" s="0" t="n">
        <f aca="false">IF(G162=" ALARM",1,0)</f>
        <v>0</v>
      </c>
      <c r="I162" s="0" t="s">
        <v>21</v>
      </c>
      <c r="J162" s="0" t="n">
        <f aca="false">IF(I162=" ALARM",1,0)</f>
        <v>0</v>
      </c>
      <c r="K162" s="0" t="s">
        <v>21</v>
      </c>
      <c r="L162" s="0" t="n">
        <f aca="false">IF(K162=" ALARM",1,0)</f>
        <v>0</v>
      </c>
      <c r="M162" s="0" t="s">
        <v>515</v>
      </c>
      <c r="N162" s="0" t="s">
        <v>515</v>
      </c>
      <c r="O162" s="0" t="s">
        <v>516</v>
      </c>
    </row>
    <row r="163" customFormat="false" ht="12.8" hidden="false" customHeight="false" outlineLevel="0" collapsed="false">
      <c r="A163" s="0" t="n">
        <v>108675</v>
      </c>
      <c r="B163" s="0" t="s">
        <v>517</v>
      </c>
      <c r="C163" s="0" t="s">
        <v>17</v>
      </c>
      <c r="D163" s="0" t="s">
        <v>97</v>
      </c>
      <c r="E163" s="0" t="n">
        <v>718</v>
      </c>
      <c r="F163" s="0" t="s">
        <v>52</v>
      </c>
      <c r="G163" s="0" t="s">
        <v>21</v>
      </c>
      <c r="H163" s="0" t="n">
        <f aca="false">IF(G163=" ALARM",1,0)</f>
        <v>0</v>
      </c>
      <c r="I163" s="0" t="s">
        <v>21</v>
      </c>
      <c r="J163" s="0" t="n">
        <f aca="false">IF(I163=" ALARM",1,0)</f>
        <v>0</v>
      </c>
      <c r="K163" s="0" t="s">
        <v>20</v>
      </c>
      <c r="L163" s="0" t="n">
        <f aca="false">IF(K163=" ALARM",1,0)</f>
        <v>1</v>
      </c>
      <c r="M163" s="0" t="s">
        <v>440</v>
      </c>
      <c r="N163" s="0" t="s">
        <v>440</v>
      </c>
    </row>
    <row r="164" customFormat="false" ht="12.8" hidden="false" customHeight="false" outlineLevel="0" collapsed="false">
      <c r="A164" s="0" t="n">
        <v>111438</v>
      </c>
      <c r="B164" s="0" t="s">
        <v>518</v>
      </c>
      <c r="C164" s="0" t="s">
        <v>17</v>
      </c>
      <c r="D164" s="0" t="s">
        <v>35</v>
      </c>
      <c r="E164" s="0" t="n">
        <v>733</v>
      </c>
      <c r="F164" s="0" t="s">
        <v>52</v>
      </c>
      <c r="G164" s="0" t="s">
        <v>20</v>
      </c>
      <c r="H164" s="0" t="n">
        <f aca="false">IF(G164=" ALARM",1,0)</f>
        <v>1</v>
      </c>
      <c r="I164" s="0" t="s">
        <v>20</v>
      </c>
      <c r="J164" s="0" t="n">
        <f aca="false">IF(I164=" ALARM",1,0)</f>
        <v>1</v>
      </c>
      <c r="K164" s="0" t="s">
        <v>20</v>
      </c>
      <c r="L164" s="0" t="n">
        <f aca="false">IF(K164=" ALARM",1,0)</f>
        <v>1</v>
      </c>
      <c r="M164" s="0" t="s">
        <v>519</v>
      </c>
      <c r="N164" s="0" t="s">
        <v>520</v>
      </c>
    </row>
    <row r="165" customFormat="false" ht="12.8" hidden="false" customHeight="false" outlineLevel="0" collapsed="false">
      <c r="A165" s="0" t="n">
        <v>111625</v>
      </c>
      <c r="B165" s="0" t="s">
        <v>521</v>
      </c>
      <c r="C165" s="0" t="s">
        <v>17</v>
      </c>
      <c r="D165" s="0" t="s">
        <v>35</v>
      </c>
      <c r="E165" s="0" t="n">
        <v>733</v>
      </c>
      <c r="F165" s="0" t="s">
        <v>52</v>
      </c>
      <c r="G165" s="0" t="s">
        <v>20</v>
      </c>
      <c r="H165" s="0" t="n">
        <f aca="false">IF(G165=" ALARM",1,0)</f>
        <v>1</v>
      </c>
      <c r="I165" s="0" t="s">
        <v>20</v>
      </c>
      <c r="J165" s="0" t="n">
        <f aca="false">IF(I165=" ALARM",1,0)</f>
        <v>1</v>
      </c>
      <c r="K165" s="0" t="s">
        <v>20</v>
      </c>
      <c r="L165" s="0" t="n">
        <f aca="false">IF(K165=" ALARM",1,0)</f>
        <v>1</v>
      </c>
      <c r="M165" s="0" t="s">
        <v>522</v>
      </c>
      <c r="N165" s="0" t="s">
        <v>523</v>
      </c>
    </row>
    <row r="166" customFormat="false" ht="12.8" hidden="false" customHeight="false" outlineLevel="0" collapsed="false">
      <c r="A166" s="0" t="n">
        <v>112730</v>
      </c>
      <c r="B166" s="0" t="s">
        <v>524</v>
      </c>
      <c r="C166" s="0" t="s">
        <v>17</v>
      </c>
      <c r="D166" s="0" t="s">
        <v>35</v>
      </c>
      <c r="E166" s="0" t="n">
        <v>733</v>
      </c>
      <c r="F166" s="0" t="s">
        <v>52</v>
      </c>
      <c r="G166" s="0" t="s">
        <v>20</v>
      </c>
      <c r="H166" s="0" t="n">
        <f aca="false">IF(G166=" ALARM",1,0)</f>
        <v>1</v>
      </c>
      <c r="I166" s="0" t="s">
        <v>20</v>
      </c>
      <c r="J166" s="0" t="n">
        <f aca="false">IF(I166=" ALARM",1,0)</f>
        <v>1</v>
      </c>
      <c r="K166" s="0" t="s">
        <v>20</v>
      </c>
      <c r="L166" s="0" t="n">
        <f aca="false">IF(K166=" ALARM",1,0)</f>
        <v>1</v>
      </c>
      <c r="M166" s="0" t="s">
        <v>525</v>
      </c>
      <c r="N166" s="0" t="s">
        <v>526</v>
      </c>
    </row>
    <row r="167" customFormat="false" ht="12.8" hidden="false" customHeight="false" outlineLevel="0" collapsed="false">
      <c r="A167" s="0" t="n">
        <v>114430</v>
      </c>
      <c r="B167" s="0" t="s">
        <v>527</v>
      </c>
      <c r="C167" s="0" t="s">
        <v>17</v>
      </c>
      <c r="D167" s="0" t="s">
        <v>35</v>
      </c>
      <c r="E167" s="0" t="n">
        <v>733</v>
      </c>
      <c r="F167" s="0" t="s">
        <v>52</v>
      </c>
      <c r="G167" s="0" t="s">
        <v>20</v>
      </c>
      <c r="H167" s="0" t="n">
        <f aca="false">IF(G167=" ALARM",1,0)</f>
        <v>1</v>
      </c>
      <c r="I167" s="0" t="s">
        <v>20</v>
      </c>
      <c r="J167" s="0" t="n">
        <f aca="false">IF(I167=" ALARM",1,0)</f>
        <v>1</v>
      </c>
      <c r="K167" s="0" t="s">
        <v>21</v>
      </c>
      <c r="L167" s="0" t="n">
        <f aca="false">IF(K167=" ALARM",1,0)</f>
        <v>0</v>
      </c>
      <c r="M167" s="0" t="s">
        <v>528</v>
      </c>
      <c r="N167" s="0" t="s">
        <v>529</v>
      </c>
    </row>
    <row r="168" customFormat="false" ht="12.8" hidden="false" customHeight="false" outlineLevel="0" collapsed="false">
      <c r="A168" s="0" t="n">
        <v>116252</v>
      </c>
      <c r="B168" s="0" t="s">
        <v>530</v>
      </c>
      <c r="C168" s="0" t="s">
        <v>17</v>
      </c>
      <c r="D168" s="0" t="s">
        <v>35</v>
      </c>
      <c r="E168" s="0" t="n">
        <v>733</v>
      </c>
      <c r="F168" s="0" t="s">
        <v>52</v>
      </c>
      <c r="G168" s="0" t="s">
        <v>21</v>
      </c>
      <c r="H168" s="0" t="n">
        <f aca="false">IF(G168=" ALARM",1,0)</f>
        <v>0</v>
      </c>
      <c r="I168" s="0" t="s">
        <v>20</v>
      </c>
      <c r="J168" s="0" t="n">
        <f aca="false">IF(I168=" ALARM",1,0)</f>
        <v>1</v>
      </c>
      <c r="K168" s="0" t="s">
        <v>20</v>
      </c>
      <c r="L168" s="0" t="n">
        <f aca="false">IF(K168=" ALARM",1,0)</f>
        <v>1</v>
      </c>
      <c r="M168" s="0" t="s">
        <v>440</v>
      </c>
      <c r="N168" s="0" t="s">
        <v>531</v>
      </c>
    </row>
    <row r="169" customFormat="false" ht="12.8" hidden="false" customHeight="false" outlineLevel="0" collapsed="false">
      <c r="A169" s="0" t="n">
        <v>117219</v>
      </c>
      <c r="B169" s="0" t="s">
        <v>532</v>
      </c>
      <c r="C169" s="0" t="s">
        <v>17</v>
      </c>
      <c r="D169" s="0" t="s">
        <v>35</v>
      </c>
      <c r="E169" s="0" t="n">
        <v>733</v>
      </c>
      <c r="F169" s="0" t="s">
        <v>52</v>
      </c>
      <c r="G169" s="0" t="s">
        <v>20</v>
      </c>
      <c r="H169" s="0" t="n">
        <f aca="false">IF(G169=" ALARM",1,0)</f>
        <v>1</v>
      </c>
      <c r="I169" s="0" t="s">
        <v>20</v>
      </c>
      <c r="J169" s="0" t="n">
        <f aca="false">IF(I169=" ALARM",1,0)</f>
        <v>1</v>
      </c>
      <c r="K169" s="0" t="s">
        <v>20</v>
      </c>
      <c r="L169" s="0" t="n">
        <f aca="false">IF(K169=" ALARM",1,0)</f>
        <v>1</v>
      </c>
      <c r="M169" s="0" t="s">
        <v>533</v>
      </c>
      <c r="N169" s="0" t="s">
        <v>534</v>
      </c>
    </row>
    <row r="170" customFormat="false" ht="12.8" hidden="false" customHeight="false" outlineLevel="0" collapsed="false">
      <c r="A170" s="0" t="n">
        <v>121746</v>
      </c>
      <c r="B170" s="0" t="s">
        <v>535</v>
      </c>
      <c r="C170" s="0" t="s">
        <v>17</v>
      </c>
      <c r="D170" s="0" t="s">
        <v>35</v>
      </c>
      <c r="E170" s="0" t="n">
        <v>733</v>
      </c>
      <c r="F170" s="0" t="s">
        <v>52</v>
      </c>
      <c r="G170" s="0" t="s">
        <v>20</v>
      </c>
      <c r="H170" s="0" t="n">
        <f aca="false">IF(G170=" ALARM",1,0)</f>
        <v>1</v>
      </c>
      <c r="I170" s="0" t="s">
        <v>20</v>
      </c>
      <c r="J170" s="0" t="n">
        <f aca="false">IF(I170=" ALARM",1,0)</f>
        <v>1</v>
      </c>
      <c r="K170" s="0" t="s">
        <v>30</v>
      </c>
      <c r="L170" s="0" t="n">
        <f aca="false">IF(K170=" ALARM",1,0)</f>
        <v>0</v>
      </c>
      <c r="M170" s="0" t="s">
        <v>536</v>
      </c>
      <c r="N170" s="0" t="s">
        <v>537</v>
      </c>
    </row>
    <row r="171" customFormat="false" ht="12.8" hidden="false" customHeight="false" outlineLevel="0" collapsed="false">
      <c r="A171" s="0" t="n">
        <v>127025</v>
      </c>
      <c r="B171" s="0" t="s">
        <v>538</v>
      </c>
      <c r="C171" s="0" t="s">
        <v>17</v>
      </c>
      <c r="D171" s="0" t="s">
        <v>35</v>
      </c>
      <c r="E171" s="0" t="n">
        <v>733</v>
      </c>
      <c r="F171" s="0" t="s">
        <v>52</v>
      </c>
      <c r="G171" s="0" t="s">
        <v>20</v>
      </c>
      <c r="H171" s="0" t="n">
        <f aca="false">IF(G171=" ALARM",1,0)</f>
        <v>1</v>
      </c>
      <c r="I171" s="0" t="s">
        <v>20</v>
      </c>
      <c r="J171" s="0" t="n">
        <f aca="false">IF(I171=" ALARM",1,0)</f>
        <v>1</v>
      </c>
      <c r="K171" s="0" t="s">
        <v>30</v>
      </c>
      <c r="L171" s="0" t="n">
        <f aca="false">IF(K171=" ALARM",1,0)</f>
        <v>0</v>
      </c>
      <c r="M171" s="0" t="s">
        <v>539</v>
      </c>
      <c r="N171" s="0" t="s">
        <v>540</v>
      </c>
    </row>
    <row r="172" customFormat="false" ht="12.8" hidden="false" customHeight="false" outlineLevel="0" collapsed="false">
      <c r="A172" s="0" t="n">
        <v>147273</v>
      </c>
      <c r="B172" s="0" t="s">
        <v>541</v>
      </c>
      <c r="C172" s="0" t="s">
        <v>17</v>
      </c>
      <c r="D172" s="0" t="s">
        <v>35</v>
      </c>
      <c r="E172" s="0" t="n">
        <v>733</v>
      </c>
      <c r="F172" s="0" t="s">
        <v>52</v>
      </c>
      <c r="G172" s="0" t="s">
        <v>20</v>
      </c>
      <c r="H172" s="0" t="n">
        <f aca="false">IF(G172=" ALARM",1,0)</f>
        <v>1</v>
      </c>
      <c r="I172" s="0" t="s">
        <v>20</v>
      </c>
      <c r="J172" s="0" t="n">
        <f aca="false">IF(I172=" ALARM",1,0)</f>
        <v>1</v>
      </c>
      <c r="K172" s="0" t="s">
        <v>20</v>
      </c>
      <c r="L172" s="0" t="n">
        <f aca="false">IF(K172=" ALARM",1,0)</f>
        <v>1</v>
      </c>
      <c r="M172" s="0" t="s">
        <v>542</v>
      </c>
      <c r="N172" s="0" t="s">
        <v>543</v>
      </c>
    </row>
    <row r="173" customFormat="false" ht="12.8" hidden="false" customHeight="false" outlineLevel="0" collapsed="false">
      <c r="A173" s="0" t="n">
        <v>101327</v>
      </c>
      <c r="B173" s="0" t="s">
        <v>544</v>
      </c>
      <c r="C173" s="0" t="s">
        <v>17</v>
      </c>
      <c r="D173" s="0" t="s">
        <v>18</v>
      </c>
      <c r="E173" s="0" t="n">
        <v>741</v>
      </c>
      <c r="F173" s="0" t="s">
        <v>52</v>
      </c>
      <c r="G173" s="0" t="s">
        <v>21</v>
      </c>
      <c r="H173" s="0" t="n">
        <f aca="false">IF(G173=" ALARM",1,0)</f>
        <v>0</v>
      </c>
      <c r="I173" s="0" t="s">
        <v>20</v>
      </c>
      <c r="J173" s="0" t="n">
        <f aca="false">IF(I173=" ALARM",1,0)</f>
        <v>1</v>
      </c>
      <c r="K173" s="0" t="s">
        <v>20</v>
      </c>
      <c r="L173" s="0" t="n">
        <f aca="false">IF(K173=" ALARM",1,0)</f>
        <v>1</v>
      </c>
      <c r="M173" s="0" t="s">
        <v>69</v>
      </c>
      <c r="N173" s="0" t="s">
        <v>545</v>
      </c>
      <c r="O173" s="0" t="s">
        <v>546</v>
      </c>
    </row>
    <row r="174" customFormat="false" ht="12.8" hidden="false" customHeight="false" outlineLevel="0" collapsed="false">
      <c r="A174" s="0" t="n">
        <v>147728</v>
      </c>
      <c r="B174" s="0" t="s">
        <v>547</v>
      </c>
      <c r="C174" s="0" t="s">
        <v>17</v>
      </c>
      <c r="D174" s="0" t="s">
        <v>18</v>
      </c>
      <c r="E174" s="0" t="n">
        <v>39</v>
      </c>
      <c r="F174" s="0" t="s">
        <v>490</v>
      </c>
      <c r="G174" s="0" t="s">
        <v>20</v>
      </c>
      <c r="H174" s="0" t="n">
        <f aca="false">IF(G174=" ALARM",1,0)</f>
        <v>1</v>
      </c>
      <c r="I174" s="0" t="s">
        <v>20</v>
      </c>
      <c r="J174" s="0" t="n">
        <f aca="false">IF(I174=" ALARM",1,0)</f>
        <v>1</v>
      </c>
      <c r="K174" s="0" t="s">
        <v>21</v>
      </c>
      <c r="L174" s="0" t="n">
        <f aca="false">IF(K174=" ALARM",1,0)</f>
        <v>0</v>
      </c>
      <c r="M174" s="0" t="s">
        <v>548</v>
      </c>
      <c r="N174" s="0" t="s">
        <v>549</v>
      </c>
      <c r="O174" s="0" t="s">
        <v>550</v>
      </c>
    </row>
    <row r="175" customFormat="false" ht="12.8" hidden="false" customHeight="false" outlineLevel="0" collapsed="false">
      <c r="A175" s="0" t="n">
        <v>148954</v>
      </c>
      <c r="B175" s="0" t="s">
        <v>551</v>
      </c>
      <c r="C175" s="0" t="s">
        <v>17</v>
      </c>
      <c r="D175" s="0" t="s">
        <v>18</v>
      </c>
      <c r="E175" s="0" t="n">
        <v>39</v>
      </c>
      <c r="F175" s="0" t="s">
        <v>490</v>
      </c>
      <c r="G175" s="0" t="s">
        <v>20</v>
      </c>
      <c r="H175" s="0" t="n">
        <f aca="false">IF(G175=" ALARM",1,0)</f>
        <v>1</v>
      </c>
      <c r="I175" s="0" t="s">
        <v>20</v>
      </c>
      <c r="J175" s="0" t="n">
        <f aca="false">IF(I175=" ALARM",1,0)</f>
        <v>1</v>
      </c>
      <c r="K175" s="0" t="s">
        <v>30</v>
      </c>
      <c r="L175" s="0" t="n">
        <f aca="false">IF(K175=" ALARM",1,0)</f>
        <v>0</v>
      </c>
      <c r="M175" s="0" t="s">
        <v>552</v>
      </c>
      <c r="N175" s="0" t="s">
        <v>553</v>
      </c>
      <c r="O175" s="0" t="s">
        <v>554</v>
      </c>
    </row>
    <row r="176" customFormat="false" ht="12.8" hidden="false" customHeight="false" outlineLevel="0" collapsed="false">
      <c r="A176" s="0" t="n">
        <v>150197</v>
      </c>
      <c r="B176" s="0" t="s">
        <v>555</v>
      </c>
      <c r="C176" s="0" t="s">
        <v>17</v>
      </c>
      <c r="D176" s="0" t="s">
        <v>35</v>
      </c>
      <c r="E176" s="0" t="n">
        <v>39</v>
      </c>
      <c r="F176" s="0" t="s">
        <v>490</v>
      </c>
      <c r="G176" s="0" t="s">
        <v>20</v>
      </c>
      <c r="H176" s="0" t="n">
        <f aca="false">IF(G176=" ALARM",1,0)</f>
        <v>1</v>
      </c>
      <c r="I176" s="0" t="s">
        <v>20</v>
      </c>
      <c r="J176" s="0" t="n">
        <f aca="false">IF(I176=" ALARM",1,0)</f>
        <v>1</v>
      </c>
      <c r="K176" s="0" t="s">
        <v>21</v>
      </c>
      <c r="L176" s="0" t="n">
        <f aca="false">IF(K176=" ALARM",1,0)</f>
        <v>0</v>
      </c>
      <c r="M176" s="0" t="s">
        <v>556</v>
      </c>
      <c r="N176" s="0" t="s">
        <v>557</v>
      </c>
      <c r="O176" s="0" t="s">
        <v>558</v>
      </c>
    </row>
    <row r="177" customFormat="false" ht="12.8" hidden="false" customHeight="false" outlineLevel="0" collapsed="false">
      <c r="A177" s="0" t="n">
        <v>148673</v>
      </c>
      <c r="B177" s="0" t="s">
        <v>559</v>
      </c>
      <c r="C177" s="0" t="s">
        <v>17</v>
      </c>
      <c r="D177" s="0" t="s">
        <v>18</v>
      </c>
      <c r="E177" s="0" t="n">
        <v>487</v>
      </c>
      <c r="F177" s="0" t="s">
        <v>52</v>
      </c>
      <c r="G177" s="0" t="s">
        <v>21</v>
      </c>
      <c r="H177" s="0" t="n">
        <f aca="false">IF(G177=" ALARM",1,0)</f>
        <v>0</v>
      </c>
      <c r="I177" s="0" t="s">
        <v>21</v>
      </c>
      <c r="J177" s="0" t="n">
        <f aca="false">IF(I177=" ALARM",1,0)</f>
        <v>0</v>
      </c>
      <c r="K177" s="0" t="s">
        <v>21</v>
      </c>
      <c r="L177" s="0" t="n">
        <f aca="false">IF(K177=" ALARM",1,0)</f>
        <v>0</v>
      </c>
      <c r="M177" s="0" t="s">
        <v>560</v>
      </c>
      <c r="N177" s="0" t="s">
        <v>560</v>
      </c>
      <c r="O177" s="0" t="s">
        <v>561</v>
      </c>
    </row>
    <row r="178" customFormat="false" ht="12.8" hidden="false" customHeight="false" outlineLevel="0" collapsed="false">
      <c r="A178" s="0" t="n">
        <v>149294</v>
      </c>
      <c r="B178" s="0" t="s">
        <v>562</v>
      </c>
      <c r="C178" s="0" t="s">
        <v>17</v>
      </c>
      <c r="D178" s="0" t="s">
        <v>35</v>
      </c>
      <c r="E178" s="0" t="n">
        <v>733</v>
      </c>
      <c r="F178" s="0" t="s">
        <v>52</v>
      </c>
      <c r="G178" s="0" t="s">
        <v>20</v>
      </c>
      <c r="H178" s="0" t="n">
        <f aca="false">IF(G178=" ALARM",1,0)</f>
        <v>1</v>
      </c>
      <c r="I178" s="0" t="s">
        <v>20</v>
      </c>
      <c r="J178" s="0" t="n">
        <f aca="false">IF(I178=" ALARM",1,0)</f>
        <v>1</v>
      </c>
      <c r="K178" s="0" t="s">
        <v>20</v>
      </c>
      <c r="L178" s="0" t="n">
        <f aca="false">IF(K178=" ALARM",1,0)</f>
        <v>1</v>
      </c>
      <c r="M178" s="0" t="s">
        <v>563</v>
      </c>
      <c r="N178" s="0" t="s">
        <v>564</v>
      </c>
    </row>
    <row r="179" customFormat="false" ht="12.8" hidden="false" customHeight="false" outlineLevel="0" collapsed="false">
      <c r="A179" s="0" t="n">
        <v>150627</v>
      </c>
      <c r="B179" s="0" t="s">
        <v>565</v>
      </c>
      <c r="C179" s="0" t="s">
        <v>17</v>
      </c>
      <c r="D179" s="0" t="s">
        <v>18</v>
      </c>
      <c r="E179" s="0" t="n">
        <v>39</v>
      </c>
      <c r="F179" s="0" t="s">
        <v>490</v>
      </c>
      <c r="G179" s="0" t="s">
        <v>20</v>
      </c>
      <c r="H179" s="0" t="n">
        <f aca="false">IF(G179=" ALARM",1,0)</f>
        <v>1</v>
      </c>
      <c r="I179" s="0" t="s">
        <v>20</v>
      </c>
      <c r="J179" s="0" t="n">
        <f aca="false">IF(I179=" ALARM",1,0)</f>
        <v>1</v>
      </c>
      <c r="K179" s="0" t="s">
        <v>21</v>
      </c>
      <c r="L179" s="0" t="n">
        <f aca="false">IF(K179=" ALARM",1,0)</f>
        <v>0</v>
      </c>
      <c r="M179" s="0" t="s">
        <v>566</v>
      </c>
      <c r="N179" s="0" t="s">
        <v>567</v>
      </c>
      <c r="O179" s="0" t="s">
        <v>568</v>
      </c>
    </row>
    <row r="180" customFormat="false" ht="12.8" hidden="false" customHeight="false" outlineLevel="0" collapsed="false">
      <c r="A180" s="0" t="n">
        <v>151658</v>
      </c>
      <c r="B180" s="0" t="s">
        <v>569</v>
      </c>
      <c r="C180" s="0" t="s">
        <v>17</v>
      </c>
      <c r="D180" s="0" t="s">
        <v>18</v>
      </c>
      <c r="E180" s="0" t="n">
        <v>39</v>
      </c>
      <c r="F180" s="0" t="s">
        <v>490</v>
      </c>
      <c r="G180" s="0" t="s">
        <v>20</v>
      </c>
      <c r="H180" s="0" t="n">
        <f aca="false">IF(G180=" ALARM",1,0)</f>
        <v>1</v>
      </c>
      <c r="I180" s="0" t="s">
        <v>20</v>
      </c>
      <c r="J180" s="0" t="n">
        <f aca="false">IF(I180=" ALARM",1,0)</f>
        <v>1</v>
      </c>
      <c r="K180" s="0" t="s">
        <v>20</v>
      </c>
      <c r="L180" s="0" t="n">
        <f aca="false">IF(K180=" ALARM",1,0)</f>
        <v>1</v>
      </c>
      <c r="M180" s="0" t="s">
        <v>570</v>
      </c>
      <c r="N180" s="0" t="s">
        <v>571</v>
      </c>
      <c r="O180" s="0" t="s">
        <v>476</v>
      </c>
    </row>
    <row r="181" customFormat="false" ht="12.8" hidden="false" customHeight="false" outlineLevel="0" collapsed="false">
      <c r="A181" s="0" t="n">
        <v>162815</v>
      </c>
      <c r="B181" s="0" t="s">
        <v>572</v>
      </c>
      <c r="C181" s="0" t="s">
        <v>17</v>
      </c>
      <c r="D181" s="0" t="s">
        <v>18</v>
      </c>
      <c r="E181" s="0" t="n">
        <v>39</v>
      </c>
      <c r="F181" s="0" t="s">
        <v>490</v>
      </c>
      <c r="G181" s="0" t="s">
        <v>20</v>
      </c>
      <c r="H181" s="0" t="n">
        <f aca="false">IF(G181=" ALARM",1,0)</f>
        <v>1</v>
      </c>
      <c r="I181" s="0" t="s">
        <v>20</v>
      </c>
      <c r="J181" s="0" t="n">
        <f aca="false">IF(I181=" ALARM",1,0)</f>
        <v>1</v>
      </c>
      <c r="K181" s="0" t="s">
        <v>20</v>
      </c>
      <c r="L181" s="0" t="n">
        <f aca="false">IF(K181=" ALARM",1,0)</f>
        <v>1</v>
      </c>
      <c r="M181" s="0" t="s">
        <v>573</v>
      </c>
      <c r="N181" s="0" t="s">
        <v>574</v>
      </c>
      <c r="O181" s="0" t="s">
        <v>575</v>
      </c>
    </row>
    <row r="182" customFormat="false" ht="12.8" hidden="false" customHeight="false" outlineLevel="0" collapsed="false">
      <c r="A182" s="0" t="n">
        <v>161625</v>
      </c>
      <c r="B182" s="0" t="s">
        <v>576</v>
      </c>
      <c r="C182" s="0" t="s">
        <v>17</v>
      </c>
      <c r="D182" s="0" t="s">
        <v>35</v>
      </c>
      <c r="E182" s="0" t="n">
        <v>733</v>
      </c>
      <c r="F182" s="0" t="s">
        <v>52</v>
      </c>
      <c r="G182" s="0" t="s">
        <v>20</v>
      </c>
      <c r="H182" s="0" t="n">
        <f aca="false">IF(G182=" ALARM",1,0)</f>
        <v>1</v>
      </c>
      <c r="I182" s="0" t="s">
        <v>20</v>
      </c>
      <c r="J182" s="0" t="n">
        <f aca="false">IF(I182=" ALARM",1,0)</f>
        <v>1</v>
      </c>
      <c r="K182" s="0" t="s">
        <v>20</v>
      </c>
      <c r="L182" s="0" t="n">
        <f aca="false">IF(K182=" ALARM",1,0)</f>
        <v>1</v>
      </c>
      <c r="M182" s="0" t="s">
        <v>577</v>
      </c>
      <c r="N182" s="0" t="s">
        <v>578</v>
      </c>
    </row>
    <row r="183" customFormat="false" ht="12.8" hidden="false" customHeight="false" outlineLevel="0" collapsed="false">
      <c r="A183" s="0" t="n">
        <v>162647</v>
      </c>
      <c r="B183" s="0" t="s">
        <v>579</v>
      </c>
      <c r="C183" s="0" t="s">
        <v>17</v>
      </c>
      <c r="D183" s="0" t="s">
        <v>35</v>
      </c>
      <c r="E183" s="0" t="n">
        <v>733</v>
      </c>
      <c r="F183" s="0" t="s">
        <v>52</v>
      </c>
      <c r="G183" s="0" t="s">
        <v>20</v>
      </c>
      <c r="H183" s="0" t="n">
        <f aca="false">IF(G183=" ALARM",1,0)</f>
        <v>1</v>
      </c>
      <c r="I183" s="0" t="s">
        <v>20</v>
      </c>
      <c r="J183" s="0" t="n">
        <f aca="false">IF(I183=" ALARM",1,0)</f>
        <v>1</v>
      </c>
      <c r="K183" s="0" t="s">
        <v>30</v>
      </c>
      <c r="L183" s="0" t="n">
        <f aca="false">IF(K183=" ALARM",1,0)</f>
        <v>0</v>
      </c>
      <c r="M183" s="0" t="s">
        <v>580</v>
      </c>
      <c r="N183" s="0" t="s">
        <v>581</v>
      </c>
      <c r="O183" s="0" t="s">
        <v>582</v>
      </c>
    </row>
    <row r="184" customFormat="false" ht="12.8" hidden="false" customHeight="false" outlineLevel="0" collapsed="false">
      <c r="A184" s="0" t="n">
        <v>162713</v>
      </c>
      <c r="B184" s="0" t="s">
        <v>583</v>
      </c>
      <c r="C184" s="0" t="s">
        <v>17</v>
      </c>
      <c r="D184" s="0" t="s">
        <v>35</v>
      </c>
      <c r="E184" s="0" t="n">
        <v>733</v>
      </c>
      <c r="F184" s="0" t="s">
        <v>52</v>
      </c>
      <c r="G184" s="0" t="s">
        <v>20</v>
      </c>
      <c r="H184" s="0" t="n">
        <f aca="false">IF(G184=" ALARM",1,0)</f>
        <v>1</v>
      </c>
      <c r="I184" s="0" t="s">
        <v>20</v>
      </c>
      <c r="J184" s="0" t="n">
        <f aca="false">IF(I184=" ALARM",1,0)</f>
        <v>1</v>
      </c>
      <c r="K184" s="0" t="s">
        <v>30</v>
      </c>
      <c r="L184" s="0" t="n">
        <f aca="false">IF(K184=" ALARM",1,0)</f>
        <v>0</v>
      </c>
      <c r="M184" s="0" t="s">
        <v>584</v>
      </c>
      <c r="N184" s="0" t="s">
        <v>585</v>
      </c>
    </row>
    <row r="185" customFormat="false" ht="12.8" hidden="false" customHeight="false" outlineLevel="0" collapsed="false">
      <c r="A185" s="0" t="n">
        <v>162755</v>
      </c>
      <c r="B185" s="0" t="s">
        <v>586</v>
      </c>
      <c r="C185" s="0" t="s">
        <v>17</v>
      </c>
      <c r="D185" s="0" t="s">
        <v>35</v>
      </c>
      <c r="E185" s="0" t="n">
        <v>733</v>
      </c>
      <c r="F185" s="0" t="s">
        <v>52</v>
      </c>
      <c r="G185" s="0" t="s">
        <v>20</v>
      </c>
      <c r="H185" s="0" t="n">
        <f aca="false">IF(G185=" ALARM",1,0)</f>
        <v>1</v>
      </c>
      <c r="I185" s="0" t="s">
        <v>20</v>
      </c>
      <c r="J185" s="0" t="n">
        <f aca="false">IF(I185=" ALARM",1,0)</f>
        <v>1</v>
      </c>
      <c r="K185" s="0" t="s">
        <v>20</v>
      </c>
      <c r="L185" s="0" t="n">
        <f aca="false">IF(K185=" ALARM",1,0)</f>
        <v>1</v>
      </c>
      <c r="M185" s="0" t="s">
        <v>587</v>
      </c>
      <c r="N185" s="0" t="s">
        <v>588</v>
      </c>
    </row>
    <row r="186" customFormat="false" ht="12.8" hidden="false" customHeight="false" outlineLevel="0" collapsed="false">
      <c r="A186" s="0" t="n">
        <v>162803</v>
      </c>
      <c r="B186" s="0" t="s">
        <v>589</v>
      </c>
      <c r="C186" s="0" t="s">
        <v>17</v>
      </c>
      <c r="D186" s="0" t="s">
        <v>35</v>
      </c>
      <c r="E186" s="0" t="n">
        <v>733</v>
      </c>
      <c r="F186" s="0" t="s">
        <v>52</v>
      </c>
      <c r="G186" s="0" t="s">
        <v>20</v>
      </c>
      <c r="H186" s="0" t="n">
        <f aca="false">IF(G186=" ALARM",1,0)</f>
        <v>1</v>
      </c>
      <c r="I186" s="0" t="s">
        <v>20</v>
      </c>
      <c r="J186" s="0" t="n">
        <f aca="false">IF(I186=" ALARM",1,0)</f>
        <v>1</v>
      </c>
      <c r="K186" s="0" t="s">
        <v>20</v>
      </c>
      <c r="L186" s="0" t="n">
        <f aca="false">IF(K186=" ALARM",1,0)</f>
        <v>1</v>
      </c>
      <c r="M186" s="0" t="s">
        <v>590</v>
      </c>
      <c r="N186" s="0" t="s">
        <v>591</v>
      </c>
    </row>
    <row r="187" customFormat="false" ht="12.8" hidden="false" customHeight="false" outlineLevel="0" collapsed="false">
      <c r="A187" s="0" t="n">
        <v>180524</v>
      </c>
      <c r="B187" s="0" t="s">
        <v>592</v>
      </c>
      <c r="C187" s="0" t="s">
        <v>17</v>
      </c>
      <c r="D187" s="0" t="s">
        <v>18</v>
      </c>
      <c r="E187" s="0" t="n">
        <v>39</v>
      </c>
      <c r="F187" s="0" t="s">
        <v>490</v>
      </c>
      <c r="G187" s="0" t="s">
        <v>20</v>
      </c>
      <c r="H187" s="0" t="n">
        <f aca="false">IF(G187=" ALARM",1,0)</f>
        <v>1</v>
      </c>
      <c r="I187" s="0" t="s">
        <v>20</v>
      </c>
      <c r="J187" s="0" t="n">
        <f aca="false">IF(I187=" ALARM",1,0)</f>
        <v>1</v>
      </c>
      <c r="K187" s="0" t="s">
        <v>20</v>
      </c>
      <c r="L187" s="0" t="n">
        <f aca="false">IF(K187=" ALARM",1,0)</f>
        <v>1</v>
      </c>
      <c r="M187" s="0" t="s">
        <v>593</v>
      </c>
      <c r="N187" s="0" t="s">
        <v>594</v>
      </c>
      <c r="O187" s="0" t="s">
        <v>595</v>
      </c>
    </row>
    <row r="188" customFormat="false" ht="12.8" hidden="false" customHeight="false" outlineLevel="0" collapsed="false">
      <c r="A188" s="0" t="n">
        <v>180532</v>
      </c>
      <c r="B188" s="0" t="s">
        <v>596</v>
      </c>
      <c r="C188" s="0" t="s">
        <v>17</v>
      </c>
      <c r="D188" s="0" t="s">
        <v>18</v>
      </c>
      <c r="E188" s="0" t="n">
        <v>39</v>
      </c>
      <c r="F188" s="0" t="s">
        <v>490</v>
      </c>
      <c r="G188" s="0" t="s">
        <v>20</v>
      </c>
      <c r="H188" s="0" t="n">
        <f aca="false">IF(G188=" ALARM",1,0)</f>
        <v>1</v>
      </c>
      <c r="I188" s="0" t="s">
        <v>20</v>
      </c>
      <c r="J188" s="0" t="n">
        <f aca="false">IF(I188=" ALARM",1,0)</f>
        <v>1</v>
      </c>
      <c r="K188" s="0" t="s">
        <v>21</v>
      </c>
      <c r="L188" s="0" t="n">
        <f aca="false">IF(K188=" ALARM",1,0)</f>
        <v>0</v>
      </c>
      <c r="M188" s="0" t="s">
        <v>597</v>
      </c>
      <c r="N188" s="0" t="s">
        <v>598</v>
      </c>
      <c r="O188" s="0" t="s">
        <v>599</v>
      </c>
    </row>
    <row r="189" customFormat="false" ht="12.8" hidden="false" customHeight="false" outlineLevel="0" collapsed="false">
      <c r="A189" s="0" t="n">
        <v>239751</v>
      </c>
      <c r="B189" s="0" t="s">
        <v>600</v>
      </c>
      <c r="C189" s="0" t="s">
        <v>17</v>
      </c>
      <c r="D189" s="0" t="s">
        <v>35</v>
      </c>
      <c r="E189" s="0" t="n">
        <v>39</v>
      </c>
      <c r="F189" s="0" t="s">
        <v>490</v>
      </c>
      <c r="G189" s="0" t="s">
        <v>20</v>
      </c>
      <c r="H189" s="0" t="n">
        <f aca="false">IF(G189=" ALARM",1,0)</f>
        <v>1</v>
      </c>
      <c r="I189" s="0" t="s">
        <v>20</v>
      </c>
      <c r="J189" s="0" t="n">
        <f aca="false">IF(I189=" ALARM",1,0)</f>
        <v>1</v>
      </c>
      <c r="K189" s="0" t="s">
        <v>30</v>
      </c>
      <c r="L189" s="0" t="n">
        <f aca="false">IF(K189=" ALARM",1,0)</f>
        <v>0</v>
      </c>
      <c r="M189" s="0" t="s">
        <v>601</v>
      </c>
      <c r="N189" s="0" t="s">
        <v>602</v>
      </c>
      <c r="O189" s="0" t="s">
        <v>603</v>
      </c>
    </row>
    <row r="190" customFormat="false" ht="12.8" hidden="false" customHeight="false" outlineLevel="0" collapsed="false">
      <c r="A190" s="0" t="n">
        <v>239696</v>
      </c>
      <c r="B190" s="0" t="s">
        <v>604</v>
      </c>
      <c r="C190" s="0" t="s">
        <v>17</v>
      </c>
      <c r="D190" s="0" t="s">
        <v>18</v>
      </c>
      <c r="E190" s="0" t="n">
        <v>39</v>
      </c>
      <c r="F190" s="0" t="s">
        <v>490</v>
      </c>
      <c r="G190" s="0" t="s">
        <v>20</v>
      </c>
      <c r="H190" s="0" t="n">
        <f aca="false">IF(G190=" ALARM",1,0)</f>
        <v>1</v>
      </c>
      <c r="I190" s="0" t="s">
        <v>20</v>
      </c>
      <c r="J190" s="0" t="n">
        <f aca="false">IF(I190=" ALARM",1,0)</f>
        <v>1</v>
      </c>
      <c r="K190" s="0" t="s">
        <v>20</v>
      </c>
      <c r="L190" s="0" t="n">
        <f aca="false">IF(K190=" ALARM",1,0)</f>
        <v>1</v>
      </c>
      <c r="M190" s="0" t="s">
        <v>605</v>
      </c>
      <c r="N190" s="0" t="s">
        <v>606</v>
      </c>
      <c r="O190" s="0" t="s">
        <v>607</v>
      </c>
    </row>
    <row r="191" customFormat="false" ht="12.8" hidden="false" customHeight="false" outlineLevel="0" collapsed="false">
      <c r="A191" s="0" t="n">
        <v>268590</v>
      </c>
      <c r="B191" s="0" t="s">
        <v>608</v>
      </c>
      <c r="C191" s="0" t="s">
        <v>17</v>
      </c>
      <c r="D191" s="0" t="s">
        <v>18</v>
      </c>
      <c r="E191" s="0" t="n">
        <v>39</v>
      </c>
      <c r="F191" s="0" t="s">
        <v>490</v>
      </c>
      <c r="G191" s="0" t="s">
        <v>20</v>
      </c>
      <c r="H191" s="0" t="n">
        <f aca="false">IF(G191=" ALARM",1,0)</f>
        <v>1</v>
      </c>
      <c r="I191" s="0" t="s">
        <v>20</v>
      </c>
      <c r="J191" s="0" t="n">
        <f aca="false">IF(I191=" ALARM",1,0)</f>
        <v>1</v>
      </c>
      <c r="K191" s="0" t="s">
        <v>20</v>
      </c>
      <c r="L191" s="0" t="n">
        <f aca="false">IF(K191=" ALARM",1,0)</f>
        <v>1</v>
      </c>
      <c r="M191" s="0" t="s">
        <v>609</v>
      </c>
      <c r="N191" s="0" t="s">
        <v>610</v>
      </c>
      <c r="O191" s="0" t="s">
        <v>476</v>
      </c>
    </row>
    <row r="192" customFormat="false" ht="12.8" hidden="false" customHeight="false" outlineLevel="0" collapsed="false">
      <c r="A192" s="0" t="n">
        <v>291279</v>
      </c>
      <c r="B192" s="0" t="s">
        <v>611</v>
      </c>
      <c r="C192" s="0" t="s">
        <v>17</v>
      </c>
      <c r="D192" s="0" t="s">
        <v>35</v>
      </c>
      <c r="E192" s="0" t="n">
        <v>39</v>
      </c>
      <c r="F192" s="0" t="s">
        <v>490</v>
      </c>
      <c r="G192" s="0" t="s">
        <v>20</v>
      </c>
      <c r="H192" s="0" t="n">
        <f aca="false">IF(G192=" ALARM",1,0)</f>
        <v>1</v>
      </c>
      <c r="I192" s="0" t="s">
        <v>20</v>
      </c>
      <c r="J192" s="0" t="n">
        <f aca="false">IF(I192=" ALARM",1,0)</f>
        <v>1</v>
      </c>
      <c r="K192" s="0" t="s">
        <v>20</v>
      </c>
      <c r="L192" s="0" t="n">
        <f aca="false">IF(K192=" ALARM",1,0)</f>
        <v>1</v>
      </c>
      <c r="M192" s="0" t="s">
        <v>612</v>
      </c>
      <c r="N192" s="0" t="s">
        <v>613</v>
      </c>
      <c r="O192" s="0" t="s">
        <v>614</v>
      </c>
    </row>
    <row r="193" customFormat="false" ht="12.8" hidden="false" customHeight="false" outlineLevel="0" collapsed="false">
      <c r="A193" s="0" t="n">
        <v>292012</v>
      </c>
      <c r="B193" s="0" t="s">
        <v>615</v>
      </c>
      <c r="C193" s="0" t="s">
        <v>17</v>
      </c>
      <c r="D193" s="0" t="s">
        <v>18</v>
      </c>
      <c r="E193" s="0" t="n">
        <v>39</v>
      </c>
      <c r="F193" s="0" t="s">
        <v>490</v>
      </c>
      <c r="G193" s="0" t="s">
        <v>20</v>
      </c>
      <c r="H193" s="0" t="n">
        <f aca="false">IF(G193=" ALARM",1,0)</f>
        <v>1</v>
      </c>
      <c r="I193" s="0" t="s">
        <v>20</v>
      </c>
      <c r="J193" s="0" t="n">
        <f aca="false">IF(I193=" ALARM",1,0)</f>
        <v>1</v>
      </c>
      <c r="K193" s="0" t="s">
        <v>20</v>
      </c>
      <c r="L193" s="0" t="n">
        <f aca="false">IF(K193=" ALARM",1,0)</f>
        <v>1</v>
      </c>
      <c r="M193" s="0" t="s">
        <v>573</v>
      </c>
      <c r="N193" s="0" t="s">
        <v>616</v>
      </c>
      <c r="O193" s="0" t="s">
        <v>617</v>
      </c>
    </row>
    <row r="194" customFormat="false" ht="12.8" hidden="false" customHeight="false" outlineLevel="0" collapsed="false">
      <c r="A194" s="0" t="n">
        <v>308998</v>
      </c>
      <c r="B194" s="0" t="s">
        <v>618</v>
      </c>
      <c r="C194" s="0" t="s">
        <v>17</v>
      </c>
      <c r="D194" s="0" t="s">
        <v>18</v>
      </c>
      <c r="E194" s="0" t="n">
        <v>39</v>
      </c>
      <c r="F194" s="0" t="s">
        <v>490</v>
      </c>
      <c r="G194" s="0" t="s">
        <v>20</v>
      </c>
      <c r="H194" s="0" t="n">
        <f aca="false">IF(G194=" ALARM",1,0)</f>
        <v>1</v>
      </c>
      <c r="I194" s="0" t="s">
        <v>20</v>
      </c>
      <c r="J194" s="0" t="n">
        <f aca="false">IF(I194=" ALARM",1,0)</f>
        <v>1</v>
      </c>
      <c r="K194" s="0" t="s">
        <v>20</v>
      </c>
      <c r="L194" s="0" t="n">
        <f aca="false">IF(K194=" ALARM",1,0)</f>
        <v>1</v>
      </c>
      <c r="M194" s="0" t="s">
        <v>619</v>
      </c>
      <c r="N194" s="0" t="s">
        <v>620</v>
      </c>
      <c r="O194" s="0" t="s">
        <v>621</v>
      </c>
    </row>
    <row r="195" customFormat="false" ht="12.8" hidden="false" customHeight="false" outlineLevel="0" collapsed="false">
      <c r="A195" s="0" t="n">
        <v>309366</v>
      </c>
      <c r="B195" s="0" t="s">
        <v>622</v>
      </c>
      <c r="C195" s="0" t="s">
        <v>17</v>
      </c>
      <c r="D195" s="0" t="s">
        <v>35</v>
      </c>
      <c r="E195" s="0" t="n">
        <v>39</v>
      </c>
      <c r="F195" s="0" t="s">
        <v>490</v>
      </c>
      <c r="G195" s="0" t="s">
        <v>20</v>
      </c>
      <c r="H195" s="0" t="n">
        <f aca="false">IF(G195=" ALARM",1,0)</f>
        <v>1</v>
      </c>
      <c r="I195" s="0" t="s">
        <v>20</v>
      </c>
      <c r="J195" s="0" t="n">
        <f aca="false">IF(I195=" ALARM",1,0)</f>
        <v>1</v>
      </c>
      <c r="K195" s="0" t="s">
        <v>20</v>
      </c>
      <c r="L195" s="0" t="n">
        <f aca="false">IF(K195=" ALARM",1,0)</f>
        <v>1</v>
      </c>
      <c r="M195" s="0" t="s">
        <v>623</v>
      </c>
      <c r="N195" s="0" t="s">
        <v>624</v>
      </c>
      <c r="O195" s="0" t="s">
        <v>625</v>
      </c>
    </row>
    <row r="196" customFormat="false" ht="12.8" hidden="false" customHeight="false" outlineLevel="0" collapsed="false">
      <c r="A196" s="0" t="n">
        <v>311676</v>
      </c>
      <c r="B196" s="0" t="s">
        <v>626</v>
      </c>
      <c r="C196" s="0" t="s">
        <v>17</v>
      </c>
      <c r="D196" s="0" t="s">
        <v>35</v>
      </c>
      <c r="E196" s="0" t="n">
        <v>39</v>
      </c>
      <c r="F196" s="0" t="s">
        <v>490</v>
      </c>
      <c r="G196" s="0" t="s">
        <v>20</v>
      </c>
      <c r="H196" s="0" t="n">
        <f aca="false">IF(G196=" ALARM",1,0)</f>
        <v>1</v>
      </c>
      <c r="I196" s="0" t="s">
        <v>20</v>
      </c>
      <c r="J196" s="0" t="n">
        <f aca="false">IF(I196=" ALARM",1,0)</f>
        <v>1</v>
      </c>
      <c r="K196" s="0" t="s">
        <v>20</v>
      </c>
      <c r="L196" s="0" t="n">
        <f aca="false">IF(K196=" ALARM",1,0)</f>
        <v>1</v>
      </c>
      <c r="M196" s="0" t="s">
        <v>627</v>
      </c>
      <c r="N196" s="0" t="s">
        <v>628</v>
      </c>
      <c r="O196" s="0" t="s">
        <v>629</v>
      </c>
    </row>
    <row r="197" customFormat="false" ht="12.8" hidden="false" customHeight="false" outlineLevel="0" collapsed="false">
      <c r="A197" s="0" t="n">
        <v>315506</v>
      </c>
      <c r="B197" s="0" t="s">
        <v>630</v>
      </c>
      <c r="C197" s="0" t="s">
        <v>17</v>
      </c>
      <c r="D197" s="0" t="s">
        <v>35</v>
      </c>
      <c r="E197" s="0" t="n">
        <v>733</v>
      </c>
      <c r="F197" s="0" t="s">
        <v>52</v>
      </c>
      <c r="G197" s="0" t="s">
        <v>21</v>
      </c>
      <c r="H197" s="0" t="n">
        <f aca="false">IF(G197=" ALARM",1,0)</f>
        <v>0</v>
      </c>
      <c r="I197" s="0" t="s">
        <v>20</v>
      </c>
      <c r="J197" s="0" t="n">
        <f aca="false">IF(I197=" ALARM",1,0)</f>
        <v>1</v>
      </c>
      <c r="K197" s="0" t="s">
        <v>20</v>
      </c>
      <c r="L197" s="0" t="n">
        <f aca="false">IF(K197=" ALARM",1,0)</f>
        <v>1</v>
      </c>
      <c r="M197" s="0" t="s">
        <v>440</v>
      </c>
      <c r="N197" s="0" t="s">
        <v>631</v>
      </c>
    </row>
    <row r="198" customFormat="false" ht="12.8" hidden="false" customHeight="false" outlineLevel="0" collapsed="false">
      <c r="A198" s="0" t="n">
        <v>315513</v>
      </c>
      <c r="B198" s="0" t="s">
        <v>632</v>
      </c>
      <c r="C198" s="0" t="s">
        <v>17</v>
      </c>
      <c r="D198" s="0" t="s">
        <v>35</v>
      </c>
      <c r="E198" s="0" t="n">
        <v>733</v>
      </c>
      <c r="F198" s="0" t="s">
        <v>52</v>
      </c>
      <c r="G198" s="0" t="s">
        <v>21</v>
      </c>
      <c r="H198" s="0" t="n">
        <f aca="false">IF(G198=" ALARM",1,0)</f>
        <v>0</v>
      </c>
      <c r="I198" s="0" t="s">
        <v>21</v>
      </c>
      <c r="J198" s="0" t="n">
        <f aca="false">IF(I198=" ALARM",1,0)</f>
        <v>0</v>
      </c>
      <c r="K198" s="0" t="s">
        <v>20</v>
      </c>
      <c r="L198" s="0" t="n">
        <f aca="false">IF(K198=" ALARM",1,0)</f>
        <v>1</v>
      </c>
      <c r="M198" s="0" t="s">
        <v>440</v>
      </c>
      <c r="N198" s="0" t="s">
        <v>440</v>
      </c>
    </row>
    <row r="199" customFormat="false" ht="12.8" hidden="false" customHeight="false" outlineLevel="0" collapsed="false">
      <c r="A199" s="0" t="n">
        <v>315518</v>
      </c>
      <c r="B199" s="0" t="s">
        <v>633</v>
      </c>
      <c r="C199" s="0" t="s">
        <v>17</v>
      </c>
      <c r="D199" s="0" t="s">
        <v>35</v>
      </c>
      <c r="E199" s="0" t="n">
        <v>733</v>
      </c>
      <c r="F199" s="0" t="s">
        <v>52</v>
      </c>
      <c r="G199" s="0" t="s">
        <v>20</v>
      </c>
      <c r="H199" s="0" t="n">
        <f aca="false">IF(G199=" ALARM",1,0)</f>
        <v>1</v>
      </c>
      <c r="I199" s="0" t="s">
        <v>20</v>
      </c>
      <c r="J199" s="0" t="n">
        <f aca="false">IF(I199=" ALARM",1,0)</f>
        <v>1</v>
      </c>
      <c r="K199" s="0" t="s">
        <v>20</v>
      </c>
      <c r="L199" s="0" t="n">
        <f aca="false">IF(K199=" ALARM",1,0)</f>
        <v>1</v>
      </c>
      <c r="M199" s="0" t="s">
        <v>634</v>
      </c>
      <c r="N199" s="0" t="s">
        <v>635</v>
      </c>
    </row>
    <row r="200" customFormat="false" ht="12.8" hidden="false" customHeight="false" outlineLevel="0" collapsed="false">
      <c r="A200" s="0" t="n">
        <v>315063</v>
      </c>
      <c r="B200" s="0" t="s">
        <v>636</v>
      </c>
      <c r="C200" s="0" t="s">
        <v>17</v>
      </c>
      <c r="D200" s="0" t="s">
        <v>97</v>
      </c>
      <c r="E200" s="0" t="n">
        <v>929</v>
      </c>
      <c r="F200" s="0" t="s">
        <v>490</v>
      </c>
      <c r="G200" s="0" t="s">
        <v>21</v>
      </c>
      <c r="H200" s="0" t="n">
        <f aca="false">IF(G200=" ALARM",1,0)</f>
        <v>0</v>
      </c>
      <c r="I200" s="0" t="s">
        <v>21</v>
      </c>
      <c r="J200" s="0" t="n">
        <f aca="false">IF(I200=" ALARM",1,0)</f>
        <v>0</v>
      </c>
      <c r="K200" s="0" t="s">
        <v>30</v>
      </c>
      <c r="L200" s="0" t="n">
        <f aca="false">IF(K200=" ALARM",1,0)</f>
        <v>0</v>
      </c>
      <c r="M200" s="0" t="s">
        <v>637</v>
      </c>
      <c r="N200" s="0" t="s">
        <v>637</v>
      </c>
      <c r="O200" s="0" t="s">
        <v>638</v>
      </c>
    </row>
    <row r="201" customFormat="false" ht="12.8" hidden="false" customHeight="false" outlineLevel="0" collapsed="false">
      <c r="A201" s="0" t="n">
        <v>336123</v>
      </c>
      <c r="B201" s="0" t="s">
        <v>639</v>
      </c>
      <c r="C201" s="0" t="s">
        <v>17</v>
      </c>
      <c r="D201" s="0" t="s">
        <v>35</v>
      </c>
      <c r="E201" s="0" t="n">
        <v>39</v>
      </c>
      <c r="F201" s="0" t="s">
        <v>490</v>
      </c>
      <c r="G201" s="0" t="s">
        <v>20</v>
      </c>
      <c r="H201" s="0" t="n">
        <f aca="false">IF(G201=" ALARM",1,0)</f>
        <v>1</v>
      </c>
      <c r="I201" s="0" t="s">
        <v>20</v>
      </c>
      <c r="J201" s="0" t="n">
        <f aca="false">IF(I201=" ALARM",1,0)</f>
        <v>1</v>
      </c>
      <c r="K201" s="0" t="s">
        <v>20</v>
      </c>
      <c r="L201" s="0" t="n">
        <f aca="false">IF(K201=" ALARM",1,0)</f>
        <v>1</v>
      </c>
      <c r="M201" s="0" t="s">
        <v>640</v>
      </c>
      <c r="N201" s="0" t="s">
        <v>641</v>
      </c>
      <c r="O201" s="0" t="s">
        <v>642</v>
      </c>
    </row>
    <row r="202" customFormat="false" ht="12.8" hidden="false" customHeight="false" outlineLevel="0" collapsed="false">
      <c r="A202" s="0" t="n">
        <v>337808</v>
      </c>
      <c r="B202" s="0" t="s">
        <v>643</v>
      </c>
      <c r="C202" s="0" t="s">
        <v>17</v>
      </c>
      <c r="D202" s="0" t="s">
        <v>35</v>
      </c>
      <c r="E202" s="0" t="n">
        <v>39</v>
      </c>
      <c r="F202" s="0" t="s">
        <v>490</v>
      </c>
      <c r="G202" s="0" t="s">
        <v>20</v>
      </c>
      <c r="H202" s="0" t="n">
        <f aca="false">IF(G202=" ALARM",1,0)</f>
        <v>1</v>
      </c>
      <c r="I202" s="0" t="s">
        <v>20</v>
      </c>
      <c r="J202" s="0" t="n">
        <f aca="false">IF(I202=" ALARM",1,0)</f>
        <v>1</v>
      </c>
      <c r="K202" s="0" t="s">
        <v>21</v>
      </c>
      <c r="L202" s="0" t="n">
        <f aca="false">IF(K202=" ALARM",1,0)</f>
        <v>0</v>
      </c>
      <c r="M202" s="0" t="s">
        <v>644</v>
      </c>
      <c r="N202" s="0" t="s">
        <v>645</v>
      </c>
      <c r="O202" s="0" t="s">
        <v>646</v>
      </c>
    </row>
    <row r="203" customFormat="false" ht="12.8" hidden="false" customHeight="false" outlineLevel="0" collapsed="false">
      <c r="A203" s="0" t="n">
        <v>341229</v>
      </c>
      <c r="B203" s="0" t="s">
        <v>647</v>
      </c>
      <c r="C203" s="0" t="s">
        <v>17</v>
      </c>
      <c r="D203" s="0" t="s">
        <v>35</v>
      </c>
      <c r="E203" s="0" t="n">
        <v>39</v>
      </c>
      <c r="F203" s="0" t="s">
        <v>490</v>
      </c>
      <c r="G203" s="0" t="s">
        <v>20</v>
      </c>
      <c r="H203" s="0" t="n">
        <f aca="false">IF(G203=" ALARM",1,0)</f>
        <v>1</v>
      </c>
      <c r="I203" s="0" t="s">
        <v>20</v>
      </c>
      <c r="J203" s="0" t="n">
        <f aca="false">IF(I203=" ALARM",1,0)</f>
        <v>1</v>
      </c>
      <c r="K203" s="0" t="s">
        <v>20</v>
      </c>
      <c r="L203" s="0" t="n">
        <f aca="false">IF(K203=" ALARM",1,0)</f>
        <v>1</v>
      </c>
      <c r="M203" s="0" t="s">
        <v>648</v>
      </c>
      <c r="N203" s="0" t="s">
        <v>649</v>
      </c>
      <c r="O203" s="0" t="s">
        <v>650</v>
      </c>
    </row>
    <row r="204" customFormat="false" ht="12.8" hidden="false" customHeight="false" outlineLevel="0" collapsed="false">
      <c r="A204" s="0" t="n">
        <v>341240</v>
      </c>
      <c r="B204" s="0" t="s">
        <v>651</v>
      </c>
      <c r="C204" s="0" t="s">
        <v>17</v>
      </c>
      <c r="D204" s="0" t="s">
        <v>35</v>
      </c>
      <c r="E204" s="0" t="n">
        <v>39</v>
      </c>
      <c r="F204" s="0" t="s">
        <v>490</v>
      </c>
      <c r="G204" s="0" t="s">
        <v>20</v>
      </c>
      <c r="H204" s="0" t="n">
        <f aca="false">IF(G204=" ALARM",1,0)</f>
        <v>1</v>
      </c>
      <c r="I204" s="0" t="s">
        <v>20</v>
      </c>
      <c r="J204" s="0" t="n">
        <f aca="false">IF(I204=" ALARM",1,0)</f>
        <v>1</v>
      </c>
      <c r="K204" s="0" t="s">
        <v>20</v>
      </c>
      <c r="L204" s="0" t="n">
        <f aca="false">IF(K204=" ALARM",1,0)</f>
        <v>1</v>
      </c>
      <c r="M204" s="0" t="s">
        <v>652</v>
      </c>
      <c r="N204" s="0" t="s">
        <v>653</v>
      </c>
      <c r="O204" s="0" t="s">
        <v>650</v>
      </c>
    </row>
    <row r="205" customFormat="false" ht="12.8" hidden="false" customHeight="false" outlineLevel="0" collapsed="false">
      <c r="A205" s="0" t="n">
        <v>342354</v>
      </c>
      <c r="B205" s="0" t="s">
        <v>654</v>
      </c>
      <c r="C205" s="0" t="s">
        <v>17</v>
      </c>
      <c r="D205" s="0" t="s">
        <v>35</v>
      </c>
      <c r="E205" s="0" t="n">
        <v>39</v>
      </c>
      <c r="F205" s="0" t="s">
        <v>490</v>
      </c>
      <c r="G205" s="0" t="s">
        <v>20</v>
      </c>
      <c r="H205" s="0" t="n">
        <f aca="false">IF(G205=" ALARM",1,0)</f>
        <v>1</v>
      </c>
      <c r="I205" s="0" t="s">
        <v>20</v>
      </c>
      <c r="J205" s="0" t="n">
        <f aca="false">IF(I205=" ALARM",1,0)</f>
        <v>1</v>
      </c>
      <c r="K205" s="0" t="s">
        <v>20</v>
      </c>
      <c r="L205" s="0" t="n">
        <f aca="false">IF(K205=" ALARM",1,0)</f>
        <v>1</v>
      </c>
      <c r="M205" s="0" t="s">
        <v>655</v>
      </c>
      <c r="N205" s="0" t="s">
        <v>656</v>
      </c>
      <c r="O205" s="0" t="s">
        <v>657</v>
      </c>
    </row>
    <row r="206" customFormat="false" ht="12.8" hidden="false" customHeight="false" outlineLevel="0" collapsed="false">
      <c r="A206" s="0" t="n">
        <v>347637</v>
      </c>
      <c r="B206" s="0" t="s">
        <v>658</v>
      </c>
      <c r="C206" s="0" t="s">
        <v>17</v>
      </c>
      <c r="D206" s="0" t="s">
        <v>35</v>
      </c>
      <c r="E206" s="0" t="n">
        <v>39</v>
      </c>
      <c r="F206" s="0" t="s">
        <v>490</v>
      </c>
      <c r="G206" s="0" t="s">
        <v>20</v>
      </c>
      <c r="H206" s="0" t="n">
        <f aca="false">IF(G206=" ALARM",1,0)</f>
        <v>1</v>
      </c>
      <c r="I206" s="0" t="s">
        <v>20</v>
      </c>
      <c r="J206" s="0" t="n">
        <f aca="false">IF(I206=" ALARM",1,0)</f>
        <v>1</v>
      </c>
      <c r="K206" s="0" t="s">
        <v>20</v>
      </c>
      <c r="L206" s="0" t="n">
        <f aca="false">IF(K206=" ALARM",1,0)</f>
        <v>1</v>
      </c>
      <c r="M206" s="0" t="s">
        <v>659</v>
      </c>
      <c r="N206" s="0" t="s">
        <v>660</v>
      </c>
      <c r="O206" s="0" t="s">
        <v>661</v>
      </c>
    </row>
    <row r="207" customFormat="false" ht="12.8" hidden="false" customHeight="false" outlineLevel="0" collapsed="false">
      <c r="A207" s="0" t="n">
        <v>351128</v>
      </c>
      <c r="B207" s="0" t="s">
        <v>662</v>
      </c>
      <c r="C207" s="0" t="s">
        <v>17</v>
      </c>
      <c r="D207" s="0" t="s">
        <v>18</v>
      </c>
      <c r="E207" s="0" t="n">
        <v>39</v>
      </c>
      <c r="F207" s="0" t="s">
        <v>490</v>
      </c>
      <c r="G207" s="0" t="s">
        <v>20</v>
      </c>
      <c r="H207" s="0" t="n">
        <f aca="false">IF(G207=" ALARM",1,0)</f>
        <v>1</v>
      </c>
      <c r="I207" s="0" t="s">
        <v>20</v>
      </c>
      <c r="J207" s="0" t="n">
        <f aca="false">IF(I207=" ALARM",1,0)</f>
        <v>1</v>
      </c>
      <c r="K207" s="0" t="s">
        <v>20</v>
      </c>
      <c r="L207" s="0" t="n">
        <f aca="false">IF(K207=" ALARM",1,0)</f>
        <v>1</v>
      </c>
      <c r="M207" s="0" t="s">
        <v>663</v>
      </c>
      <c r="N207" s="0" t="s">
        <v>664</v>
      </c>
      <c r="O207" s="0" t="s">
        <v>476</v>
      </c>
    </row>
    <row r="208" customFormat="false" ht="12.8" hidden="false" customHeight="false" outlineLevel="0" collapsed="false">
      <c r="A208" s="0" t="n">
        <v>351367</v>
      </c>
      <c r="B208" s="0" t="s">
        <v>665</v>
      </c>
      <c r="C208" s="0" t="s">
        <v>17</v>
      </c>
      <c r="D208" s="0" t="s">
        <v>18</v>
      </c>
      <c r="E208" s="0" t="n">
        <v>1048</v>
      </c>
      <c r="F208" s="0" t="s">
        <v>52</v>
      </c>
      <c r="G208" s="0" t="s">
        <v>21</v>
      </c>
      <c r="H208" s="0" t="n">
        <f aca="false">IF(G208=" ALARM",1,0)</f>
        <v>0</v>
      </c>
      <c r="I208" s="0" t="s">
        <v>21</v>
      </c>
      <c r="J208" s="0" t="n">
        <f aca="false">IF(I208=" ALARM",1,0)</f>
        <v>0</v>
      </c>
      <c r="K208" s="0" t="s">
        <v>20</v>
      </c>
      <c r="L208" s="0" t="n">
        <f aca="false">IF(K208=" ALARM",1,0)</f>
        <v>1</v>
      </c>
      <c r="M208" s="0" t="s">
        <v>440</v>
      </c>
      <c r="N208" s="0" t="s">
        <v>440</v>
      </c>
      <c r="O208" s="0" t="s">
        <v>666</v>
      </c>
    </row>
    <row r="209" customFormat="false" ht="12.8" hidden="false" customHeight="false" outlineLevel="0" collapsed="false">
      <c r="A209" s="0" t="n">
        <v>362221</v>
      </c>
      <c r="B209" s="0" t="s">
        <v>667</v>
      </c>
      <c r="C209" s="0" t="s">
        <v>17</v>
      </c>
      <c r="D209" s="0" t="s">
        <v>35</v>
      </c>
      <c r="E209" s="0" t="n">
        <v>39</v>
      </c>
      <c r="F209" s="0" t="s">
        <v>490</v>
      </c>
      <c r="G209" s="0" t="s">
        <v>20</v>
      </c>
      <c r="H209" s="0" t="n">
        <f aca="false">IF(G209=" ALARM",1,0)</f>
        <v>1</v>
      </c>
      <c r="I209" s="0" t="s">
        <v>20</v>
      </c>
      <c r="J209" s="0" t="n">
        <f aca="false">IF(I209=" ALARM",1,0)</f>
        <v>1</v>
      </c>
      <c r="K209" s="0" t="s">
        <v>20</v>
      </c>
      <c r="L209" s="0" t="n">
        <f aca="false">IF(K209=" ALARM",1,0)</f>
        <v>1</v>
      </c>
      <c r="M209" s="0" t="s">
        <v>668</v>
      </c>
      <c r="N209" s="0" t="s">
        <v>669</v>
      </c>
      <c r="O209" s="0" t="s">
        <v>670</v>
      </c>
    </row>
    <row r="210" customFormat="false" ht="12.8" hidden="false" customHeight="false" outlineLevel="0" collapsed="false">
      <c r="A210" s="0" t="n">
        <v>362980</v>
      </c>
      <c r="B210" s="0" t="s">
        <v>671</v>
      </c>
      <c r="C210" s="0" t="s">
        <v>17</v>
      </c>
      <c r="D210" s="0" t="s">
        <v>35</v>
      </c>
      <c r="E210" s="0" t="n">
        <v>733</v>
      </c>
      <c r="F210" s="0" t="s">
        <v>52</v>
      </c>
      <c r="G210" s="0" t="s">
        <v>30</v>
      </c>
      <c r="H210" s="0" t="n">
        <f aca="false">IF(G210=" ALARM",1,0)</f>
        <v>0</v>
      </c>
      <c r="I210" s="0" t="s">
        <v>20</v>
      </c>
      <c r="J210" s="0" t="n">
        <f aca="false">IF(I210=" ALARM",1,0)</f>
        <v>1</v>
      </c>
      <c r="K210" s="0" t="s">
        <v>20</v>
      </c>
      <c r="L210" s="0" t="n">
        <f aca="false">IF(K210=" ALARM",1,0)</f>
        <v>1</v>
      </c>
      <c r="M210" s="0" t="s">
        <v>672</v>
      </c>
      <c r="N210" s="0" t="s">
        <v>673</v>
      </c>
    </row>
    <row r="211" customFormat="false" ht="12.8" hidden="false" customHeight="false" outlineLevel="0" collapsed="false">
      <c r="A211" s="0" t="n">
        <v>363031</v>
      </c>
      <c r="B211" s="0" t="s">
        <v>674</v>
      </c>
      <c r="C211" s="0" t="s">
        <v>17</v>
      </c>
      <c r="D211" s="0" t="s">
        <v>35</v>
      </c>
      <c r="E211" s="0" t="n">
        <v>733</v>
      </c>
      <c r="F211" s="0" t="s">
        <v>52</v>
      </c>
      <c r="G211" s="0" t="s">
        <v>20</v>
      </c>
      <c r="H211" s="0" t="n">
        <f aca="false">IF(G211=" ALARM",1,0)</f>
        <v>1</v>
      </c>
      <c r="I211" s="0" t="s">
        <v>20</v>
      </c>
      <c r="J211" s="0" t="n">
        <f aca="false">IF(I211=" ALARM",1,0)</f>
        <v>1</v>
      </c>
      <c r="K211" s="0" t="s">
        <v>20</v>
      </c>
      <c r="L211" s="0" t="n">
        <f aca="false">IF(K211=" ALARM",1,0)</f>
        <v>1</v>
      </c>
      <c r="M211" s="0" t="s">
        <v>675</v>
      </c>
      <c r="N211" s="0" t="s">
        <v>676</v>
      </c>
    </row>
    <row r="212" customFormat="false" ht="12.8" hidden="false" customHeight="false" outlineLevel="0" collapsed="false">
      <c r="A212" s="0" t="n">
        <v>363089</v>
      </c>
      <c r="B212" s="0" t="s">
        <v>677</v>
      </c>
      <c r="C212" s="0" t="s">
        <v>17</v>
      </c>
      <c r="D212" s="0" t="s">
        <v>35</v>
      </c>
      <c r="E212" s="0" t="n">
        <v>733</v>
      </c>
      <c r="F212" s="0" t="s">
        <v>52</v>
      </c>
      <c r="G212" s="0" t="s">
        <v>30</v>
      </c>
      <c r="H212" s="0" t="n">
        <f aca="false">IF(G212=" ALARM",1,0)</f>
        <v>0</v>
      </c>
      <c r="I212" s="0" t="s">
        <v>20</v>
      </c>
      <c r="J212" s="0" t="n">
        <f aca="false">IF(I212=" ALARM",1,0)</f>
        <v>1</v>
      </c>
      <c r="K212" s="0" t="s">
        <v>20</v>
      </c>
      <c r="L212" s="0" t="n">
        <f aca="false">IF(K212=" ALARM",1,0)</f>
        <v>1</v>
      </c>
      <c r="M212" s="0" t="s">
        <v>678</v>
      </c>
      <c r="N212" s="0" t="s">
        <v>679</v>
      </c>
    </row>
    <row r="213" customFormat="false" ht="12.8" hidden="false" customHeight="false" outlineLevel="0" collapsed="false">
      <c r="A213" s="0" t="n">
        <v>363138</v>
      </c>
      <c r="B213" s="0" t="s">
        <v>680</v>
      </c>
      <c r="C213" s="0" t="s">
        <v>17</v>
      </c>
      <c r="D213" s="0" t="s">
        <v>35</v>
      </c>
      <c r="E213" s="0" t="n">
        <v>733</v>
      </c>
      <c r="F213" s="0" t="s">
        <v>52</v>
      </c>
      <c r="G213" s="0" t="s">
        <v>20</v>
      </c>
      <c r="H213" s="0" t="n">
        <f aca="false">IF(G213=" ALARM",1,0)</f>
        <v>1</v>
      </c>
      <c r="I213" s="0" t="s">
        <v>20</v>
      </c>
      <c r="J213" s="0" t="n">
        <f aca="false">IF(I213=" ALARM",1,0)</f>
        <v>1</v>
      </c>
      <c r="K213" s="0" t="s">
        <v>20</v>
      </c>
      <c r="L213" s="0" t="n">
        <f aca="false">IF(K213=" ALARM",1,0)</f>
        <v>1</v>
      </c>
      <c r="M213" s="0" t="s">
        <v>681</v>
      </c>
      <c r="N213" s="0" t="s">
        <v>682</v>
      </c>
    </row>
    <row r="214" customFormat="false" ht="12.8" hidden="false" customHeight="false" outlineLevel="0" collapsed="false">
      <c r="A214" s="0" t="n">
        <v>363195</v>
      </c>
      <c r="B214" s="0" t="s">
        <v>683</v>
      </c>
      <c r="C214" s="0" t="s">
        <v>17</v>
      </c>
      <c r="D214" s="0" t="s">
        <v>35</v>
      </c>
      <c r="E214" s="0" t="n">
        <v>733</v>
      </c>
      <c r="F214" s="0" t="s">
        <v>52</v>
      </c>
      <c r="G214" s="0" t="s">
        <v>20</v>
      </c>
      <c r="H214" s="0" t="n">
        <f aca="false">IF(G214=" ALARM",1,0)</f>
        <v>1</v>
      </c>
      <c r="I214" s="0" t="s">
        <v>20</v>
      </c>
      <c r="J214" s="0" t="n">
        <f aca="false">IF(I214=" ALARM",1,0)</f>
        <v>1</v>
      </c>
      <c r="K214" s="0" t="s">
        <v>20</v>
      </c>
      <c r="L214" s="0" t="n">
        <f aca="false">IF(K214=" ALARM",1,0)</f>
        <v>1</v>
      </c>
      <c r="M214" s="0" t="s">
        <v>684</v>
      </c>
      <c r="N214" s="0" t="s">
        <v>685</v>
      </c>
    </row>
    <row r="215" customFormat="false" ht="12.8" hidden="false" customHeight="false" outlineLevel="0" collapsed="false">
      <c r="A215" s="0" t="n">
        <v>364140</v>
      </c>
      <c r="B215" s="0" t="s">
        <v>686</v>
      </c>
      <c r="C215" s="0" t="s">
        <v>17</v>
      </c>
      <c r="D215" s="0" t="s">
        <v>35</v>
      </c>
      <c r="E215" s="0" t="n">
        <v>39</v>
      </c>
      <c r="F215" s="0" t="s">
        <v>490</v>
      </c>
      <c r="G215" s="0" t="s">
        <v>20</v>
      </c>
      <c r="H215" s="0" t="n">
        <f aca="false">IF(G215=" ALARM",1,0)</f>
        <v>1</v>
      </c>
      <c r="I215" s="0" t="s">
        <v>20</v>
      </c>
      <c r="J215" s="0" t="n">
        <f aca="false">IF(I215=" ALARM",1,0)</f>
        <v>1</v>
      </c>
      <c r="K215" s="0" t="s">
        <v>20</v>
      </c>
      <c r="L215" s="0" t="n">
        <f aca="false">IF(K215=" ALARM",1,0)</f>
        <v>1</v>
      </c>
      <c r="M215" s="0" t="s">
        <v>687</v>
      </c>
      <c r="N215" s="0" t="s">
        <v>688</v>
      </c>
      <c r="O215" s="0" t="s">
        <v>689</v>
      </c>
    </row>
    <row r="216" customFormat="false" ht="12.8" hidden="false" customHeight="false" outlineLevel="0" collapsed="false">
      <c r="A216" s="0" t="n">
        <v>364492</v>
      </c>
      <c r="B216" s="0" t="s">
        <v>690</v>
      </c>
      <c r="C216" s="0" t="s">
        <v>17</v>
      </c>
      <c r="D216" s="0" t="s">
        <v>35</v>
      </c>
      <c r="E216" s="0" t="n">
        <v>733</v>
      </c>
      <c r="F216" s="0" t="s">
        <v>52</v>
      </c>
      <c r="G216" s="0" t="s">
        <v>21</v>
      </c>
      <c r="H216" s="0" t="n">
        <f aca="false">IF(G216=" ALARM",1,0)</f>
        <v>0</v>
      </c>
      <c r="I216" s="0" t="s">
        <v>21</v>
      </c>
      <c r="J216" s="0" t="n">
        <f aca="false">IF(I216=" ALARM",1,0)</f>
        <v>0</v>
      </c>
      <c r="K216" s="0" t="s">
        <v>20</v>
      </c>
      <c r="L216" s="0" t="n">
        <f aca="false">IF(K216=" ALARM",1,0)</f>
        <v>1</v>
      </c>
      <c r="M216" s="0" t="s">
        <v>440</v>
      </c>
      <c r="N216" s="0" t="s">
        <v>440</v>
      </c>
    </row>
    <row r="217" customFormat="false" ht="12.8" hidden="false" customHeight="false" outlineLevel="0" collapsed="false">
      <c r="A217" s="0" t="n">
        <v>364502</v>
      </c>
      <c r="B217" s="0" t="s">
        <v>691</v>
      </c>
      <c r="C217" s="0" t="s">
        <v>17</v>
      </c>
      <c r="D217" s="0" t="s">
        <v>35</v>
      </c>
      <c r="E217" s="0" t="n">
        <v>733</v>
      </c>
      <c r="F217" s="0" t="s">
        <v>52</v>
      </c>
      <c r="G217" s="0" t="s">
        <v>30</v>
      </c>
      <c r="H217" s="0" t="n">
        <f aca="false">IF(G217=" ALARM",1,0)</f>
        <v>0</v>
      </c>
      <c r="I217" s="0" t="s">
        <v>20</v>
      </c>
      <c r="J217" s="0" t="n">
        <f aca="false">IF(I217=" ALARM",1,0)</f>
        <v>1</v>
      </c>
      <c r="K217" s="0" t="s">
        <v>20</v>
      </c>
      <c r="L217" s="0" t="n">
        <f aca="false">IF(K217=" ALARM",1,0)</f>
        <v>1</v>
      </c>
      <c r="M217" s="0" t="s">
        <v>692</v>
      </c>
      <c r="N217" s="0" t="s">
        <v>693</v>
      </c>
    </row>
    <row r="218" customFormat="false" ht="12.8" hidden="false" customHeight="false" outlineLevel="0" collapsed="false">
      <c r="A218" s="0" t="n">
        <v>365282</v>
      </c>
      <c r="B218" s="0" t="s">
        <v>694</v>
      </c>
      <c r="C218" s="0" t="s">
        <v>17</v>
      </c>
      <c r="D218" s="0" t="s">
        <v>18</v>
      </c>
      <c r="E218" s="0" t="n">
        <v>39</v>
      </c>
      <c r="F218" s="0" t="s">
        <v>490</v>
      </c>
      <c r="G218" s="0" t="s">
        <v>20</v>
      </c>
      <c r="H218" s="0" t="n">
        <f aca="false">IF(G218=" ALARM",1,0)</f>
        <v>1</v>
      </c>
      <c r="I218" s="0" t="s">
        <v>20</v>
      </c>
      <c r="J218" s="0" t="n">
        <f aca="false">IF(I218=" ALARM",1,0)</f>
        <v>1</v>
      </c>
      <c r="K218" s="0" t="s">
        <v>30</v>
      </c>
      <c r="L218" s="0" t="n">
        <f aca="false">IF(K218=" ALARM",1,0)</f>
        <v>0</v>
      </c>
      <c r="M218" s="0" t="s">
        <v>695</v>
      </c>
      <c r="N218" s="0" t="s">
        <v>696</v>
      </c>
      <c r="O218" s="0" t="s">
        <v>697</v>
      </c>
    </row>
    <row r="219" customFormat="false" ht="12.8" hidden="false" customHeight="false" outlineLevel="0" collapsed="false">
      <c r="A219" s="0" t="n">
        <v>366325</v>
      </c>
      <c r="B219" s="0" t="s">
        <v>698</v>
      </c>
      <c r="C219" s="0" t="s">
        <v>17</v>
      </c>
      <c r="D219" s="0" t="s">
        <v>35</v>
      </c>
      <c r="E219" s="0" t="n">
        <v>39</v>
      </c>
      <c r="F219" s="0" t="s">
        <v>490</v>
      </c>
      <c r="G219" s="0" t="s">
        <v>20</v>
      </c>
      <c r="H219" s="0" t="n">
        <f aca="false">IF(G219=" ALARM",1,0)</f>
        <v>1</v>
      </c>
      <c r="I219" s="0" t="s">
        <v>20</v>
      </c>
      <c r="J219" s="0" t="n">
        <f aca="false">IF(I219=" ALARM",1,0)</f>
        <v>1</v>
      </c>
      <c r="K219" s="0" t="s">
        <v>20</v>
      </c>
      <c r="L219" s="0" t="n">
        <f aca="false">IF(K219=" ALARM",1,0)</f>
        <v>1</v>
      </c>
      <c r="M219" s="0" t="s">
        <v>699</v>
      </c>
      <c r="N219" s="0" t="s">
        <v>700</v>
      </c>
      <c r="O219" s="0" t="s">
        <v>701</v>
      </c>
    </row>
    <row r="220" customFormat="false" ht="12.8" hidden="false" customHeight="false" outlineLevel="0" collapsed="false">
      <c r="A220" s="0" t="n">
        <v>366342</v>
      </c>
      <c r="B220" s="0" t="s">
        <v>702</v>
      </c>
      <c r="C220" s="0" t="s">
        <v>17</v>
      </c>
      <c r="D220" s="0" t="s">
        <v>35</v>
      </c>
      <c r="E220" s="0" t="n">
        <v>39</v>
      </c>
      <c r="F220" s="0" t="s">
        <v>490</v>
      </c>
      <c r="G220" s="0" t="s">
        <v>20</v>
      </c>
      <c r="H220" s="0" t="n">
        <f aca="false">IF(G220=" ALARM",1,0)</f>
        <v>1</v>
      </c>
      <c r="I220" s="0" t="s">
        <v>20</v>
      </c>
      <c r="J220" s="0" t="n">
        <f aca="false">IF(I220=" ALARM",1,0)</f>
        <v>1</v>
      </c>
      <c r="K220" s="0" t="s">
        <v>20</v>
      </c>
      <c r="L220" s="0" t="n">
        <f aca="false">IF(K220=" ALARM",1,0)</f>
        <v>1</v>
      </c>
      <c r="M220" s="0" t="s">
        <v>703</v>
      </c>
      <c r="N220" s="0" t="s">
        <v>704</v>
      </c>
    </row>
    <row r="221" customFormat="false" ht="12.8" hidden="false" customHeight="false" outlineLevel="0" collapsed="false">
      <c r="A221" s="0" t="n">
        <v>368229</v>
      </c>
      <c r="B221" s="0" t="s">
        <v>705</v>
      </c>
      <c r="C221" s="0" t="s">
        <v>17</v>
      </c>
      <c r="D221" s="0" t="s">
        <v>35</v>
      </c>
      <c r="E221" s="0" t="n">
        <v>1100</v>
      </c>
      <c r="F221" s="0" t="s">
        <v>52</v>
      </c>
      <c r="G221" s="0" t="s">
        <v>20</v>
      </c>
      <c r="H221" s="0" t="n">
        <f aca="false">IF(G221=" ALARM",1,0)</f>
        <v>1</v>
      </c>
      <c r="I221" s="0" t="s">
        <v>20</v>
      </c>
      <c r="J221" s="0" t="n">
        <f aca="false">IF(I221=" ALARM",1,0)</f>
        <v>1</v>
      </c>
      <c r="K221" s="0" t="s">
        <v>20</v>
      </c>
      <c r="L221" s="0" t="n">
        <f aca="false">IF(K221=" ALARM",1,0)</f>
        <v>1</v>
      </c>
      <c r="M221" s="0" t="s">
        <v>706</v>
      </c>
      <c r="N221" s="0" t="s">
        <v>707</v>
      </c>
      <c r="O221" s="0" t="s">
        <v>708</v>
      </c>
    </row>
    <row r="222" customFormat="false" ht="12.8" hidden="false" customHeight="false" outlineLevel="0" collapsed="false">
      <c r="A222" s="0" t="n">
        <v>374043</v>
      </c>
      <c r="B222" s="0" t="s">
        <v>709</v>
      </c>
      <c r="C222" s="0" t="s">
        <v>17</v>
      </c>
      <c r="D222" s="0" t="s">
        <v>18</v>
      </c>
      <c r="E222" s="0" t="n">
        <v>39</v>
      </c>
      <c r="F222" s="0" t="s">
        <v>490</v>
      </c>
      <c r="G222" s="0" t="s">
        <v>20</v>
      </c>
      <c r="H222" s="0" t="n">
        <f aca="false">IF(G222=" ALARM",1,0)</f>
        <v>1</v>
      </c>
      <c r="I222" s="0" t="s">
        <v>20</v>
      </c>
      <c r="J222" s="0" t="n">
        <f aca="false">IF(I222=" ALARM",1,0)</f>
        <v>1</v>
      </c>
      <c r="K222" s="0" t="s">
        <v>20</v>
      </c>
      <c r="L222" s="0" t="n">
        <f aca="false">IF(K222=" ALARM",1,0)</f>
        <v>1</v>
      </c>
      <c r="M222" s="0" t="s">
        <v>710</v>
      </c>
      <c r="N222" s="0" t="s">
        <v>711</v>
      </c>
      <c r="O222" s="0" t="s">
        <v>712</v>
      </c>
    </row>
    <row r="223" customFormat="false" ht="12.8" hidden="false" customHeight="false" outlineLevel="0" collapsed="false">
      <c r="A223" s="0" t="n">
        <v>370716</v>
      </c>
      <c r="B223" s="0" t="s">
        <v>713</v>
      </c>
      <c r="C223" s="0" t="s">
        <v>17</v>
      </c>
      <c r="D223" s="0" t="s">
        <v>35</v>
      </c>
      <c r="E223" s="0" t="n">
        <v>1100</v>
      </c>
      <c r="F223" s="0" t="s">
        <v>52</v>
      </c>
      <c r="G223" s="0" t="s">
        <v>20</v>
      </c>
      <c r="H223" s="0" t="n">
        <f aca="false">IF(G223=" ALARM",1,0)</f>
        <v>1</v>
      </c>
      <c r="I223" s="0" t="s">
        <v>20</v>
      </c>
      <c r="J223" s="0" t="n">
        <f aca="false">IF(I223=" ALARM",1,0)</f>
        <v>1</v>
      </c>
      <c r="K223" s="0" t="s">
        <v>20</v>
      </c>
      <c r="L223" s="0" t="n">
        <f aca="false">IF(K223=" ALARM",1,0)</f>
        <v>1</v>
      </c>
      <c r="M223" s="0" t="s">
        <v>714</v>
      </c>
      <c r="N223" s="0" t="s">
        <v>715</v>
      </c>
    </row>
    <row r="224" customFormat="false" ht="12.8" hidden="false" customHeight="false" outlineLevel="0" collapsed="false">
      <c r="A224" s="0" t="n">
        <v>376784</v>
      </c>
      <c r="B224" s="0" t="s">
        <v>716</v>
      </c>
      <c r="C224" s="0" t="s">
        <v>17</v>
      </c>
      <c r="D224" s="0" t="s">
        <v>35</v>
      </c>
      <c r="E224" s="0" t="n">
        <v>1110</v>
      </c>
      <c r="F224" s="0" t="s">
        <v>52</v>
      </c>
      <c r="G224" s="0" t="s">
        <v>20</v>
      </c>
      <c r="H224" s="0" t="n">
        <f aca="false">IF(G224=" ALARM",1,0)</f>
        <v>1</v>
      </c>
      <c r="I224" s="0" t="s">
        <v>20</v>
      </c>
      <c r="J224" s="0" t="n">
        <f aca="false">IF(I224=" ALARM",1,0)</f>
        <v>1</v>
      </c>
      <c r="K224" s="0" t="s">
        <v>20</v>
      </c>
      <c r="L224" s="0" t="n">
        <f aca="false">IF(K224=" ALARM",1,0)</f>
        <v>1</v>
      </c>
      <c r="M224" s="0" t="s">
        <v>717</v>
      </c>
      <c r="N224" s="0" t="s">
        <v>718</v>
      </c>
    </row>
    <row r="225" customFormat="false" ht="12.8" hidden="false" customHeight="false" outlineLevel="0" collapsed="false">
      <c r="A225" s="0" t="n">
        <v>409650</v>
      </c>
      <c r="B225" s="0" t="s">
        <v>719</v>
      </c>
      <c r="C225" s="0" t="s">
        <v>17</v>
      </c>
      <c r="D225" s="0" t="s">
        <v>35</v>
      </c>
      <c r="E225" s="0" t="n">
        <v>39</v>
      </c>
      <c r="F225" s="0" t="s">
        <v>490</v>
      </c>
      <c r="G225" s="0" t="s">
        <v>20</v>
      </c>
      <c r="H225" s="0" t="n">
        <f aca="false">IF(G225=" ALARM",1,0)</f>
        <v>1</v>
      </c>
      <c r="I225" s="0" t="s">
        <v>20</v>
      </c>
      <c r="J225" s="0" t="n">
        <f aca="false">IF(I225=" ALARM",1,0)</f>
        <v>1</v>
      </c>
      <c r="K225" s="0" t="s">
        <v>20</v>
      </c>
      <c r="L225" s="0" t="n">
        <f aca="false">IF(K225=" ALARM",1,0)</f>
        <v>1</v>
      </c>
      <c r="M225" s="0" t="s">
        <v>720</v>
      </c>
      <c r="N225" s="0" t="s">
        <v>721</v>
      </c>
      <c r="O225" s="0" t="s">
        <v>722</v>
      </c>
    </row>
    <row r="226" customFormat="false" ht="12.8" hidden="false" customHeight="false" outlineLevel="0" collapsed="false">
      <c r="A226" s="0" t="n">
        <v>409661</v>
      </c>
      <c r="B226" s="0" t="s">
        <v>723</v>
      </c>
      <c r="C226" s="0" t="s">
        <v>17</v>
      </c>
      <c r="D226" s="0" t="s">
        <v>18</v>
      </c>
      <c r="E226" s="0" t="n">
        <v>39</v>
      </c>
      <c r="F226" s="0" t="s">
        <v>490</v>
      </c>
      <c r="G226" s="0" t="s">
        <v>20</v>
      </c>
      <c r="H226" s="0" t="n">
        <f aca="false">IF(G226=" ALARM",1,0)</f>
        <v>1</v>
      </c>
      <c r="I226" s="0" t="s">
        <v>20</v>
      </c>
      <c r="J226" s="0" t="n">
        <f aca="false">IF(I226=" ALARM",1,0)</f>
        <v>1</v>
      </c>
      <c r="K226" s="0" t="s">
        <v>20</v>
      </c>
      <c r="L226" s="0" t="n">
        <f aca="false">IF(K226=" ALARM",1,0)</f>
        <v>1</v>
      </c>
      <c r="M226" s="0" t="s">
        <v>724</v>
      </c>
      <c r="N226" s="0" t="s">
        <v>725</v>
      </c>
      <c r="O226" s="0" t="s">
        <v>726</v>
      </c>
    </row>
    <row r="227" customFormat="false" ht="12.8" hidden="false" customHeight="false" outlineLevel="0" collapsed="false">
      <c r="A227" s="0" t="n">
        <v>464916</v>
      </c>
      <c r="B227" s="0" t="s">
        <v>727</v>
      </c>
      <c r="C227" s="0" t="s">
        <v>17</v>
      </c>
      <c r="D227" s="0" t="s">
        <v>35</v>
      </c>
      <c r="E227" s="0" t="n">
        <v>39</v>
      </c>
      <c r="F227" s="0" t="s">
        <v>490</v>
      </c>
      <c r="G227" s="0" t="s">
        <v>20</v>
      </c>
      <c r="H227" s="0" t="n">
        <f aca="false">IF(G227=" ALARM",1,0)</f>
        <v>1</v>
      </c>
      <c r="I227" s="0" t="s">
        <v>20</v>
      </c>
      <c r="J227" s="0" t="n">
        <f aca="false">IF(I227=" ALARM",1,0)</f>
        <v>1</v>
      </c>
      <c r="K227" s="0" t="s">
        <v>20</v>
      </c>
      <c r="L227" s="0" t="n">
        <f aca="false">IF(K227=" ALARM",1,0)</f>
        <v>1</v>
      </c>
      <c r="M227" s="0" t="s">
        <v>728</v>
      </c>
      <c r="N227" s="0" t="s">
        <v>729</v>
      </c>
      <c r="O227" s="0" t="s">
        <v>730</v>
      </c>
    </row>
    <row r="228" customFormat="false" ht="12.8" hidden="false" customHeight="false" outlineLevel="0" collapsed="false">
      <c r="A228" s="0" t="n">
        <v>464918</v>
      </c>
      <c r="B228" s="0" t="s">
        <v>731</v>
      </c>
      <c r="C228" s="0" t="s">
        <v>17</v>
      </c>
      <c r="D228" s="0" t="s">
        <v>18</v>
      </c>
      <c r="E228" s="0" t="n">
        <v>39</v>
      </c>
      <c r="F228" s="0" t="s">
        <v>490</v>
      </c>
      <c r="G228" s="0" t="s">
        <v>20</v>
      </c>
      <c r="H228" s="0" t="n">
        <f aca="false">IF(G228=" ALARM",1,0)</f>
        <v>1</v>
      </c>
      <c r="I228" s="0" t="s">
        <v>20</v>
      </c>
      <c r="J228" s="0" t="n">
        <f aca="false">IF(I228=" ALARM",1,0)</f>
        <v>1</v>
      </c>
      <c r="K228" s="0" t="s">
        <v>20</v>
      </c>
      <c r="L228" s="0" t="n">
        <f aca="false">IF(K228=" ALARM",1,0)</f>
        <v>1</v>
      </c>
      <c r="M228" s="0" t="s">
        <v>732</v>
      </c>
      <c r="N228" s="0" t="s">
        <v>733</v>
      </c>
      <c r="O228" s="0" t="s">
        <v>734</v>
      </c>
    </row>
    <row r="229" customFormat="false" ht="12.8" hidden="false" customHeight="false" outlineLevel="0" collapsed="false">
      <c r="A229" s="0" t="n">
        <v>464459</v>
      </c>
      <c r="B229" s="0" t="s">
        <v>735</v>
      </c>
      <c r="C229" s="0" t="s">
        <v>17</v>
      </c>
      <c r="D229" s="0" t="s">
        <v>35</v>
      </c>
      <c r="E229" s="0" t="n">
        <v>733</v>
      </c>
      <c r="F229" s="0" t="s">
        <v>52</v>
      </c>
      <c r="G229" s="0" t="s">
        <v>20</v>
      </c>
      <c r="H229" s="0" t="n">
        <f aca="false">IF(G229=" ALARM",1,0)</f>
        <v>1</v>
      </c>
      <c r="I229" s="0" t="s">
        <v>20</v>
      </c>
      <c r="J229" s="0" t="n">
        <f aca="false">IF(I229=" ALARM",1,0)</f>
        <v>1</v>
      </c>
      <c r="K229" s="0" t="s">
        <v>20</v>
      </c>
      <c r="L229" s="0" t="n">
        <f aca="false">IF(K229=" ALARM",1,0)</f>
        <v>1</v>
      </c>
      <c r="M229" s="0" t="s">
        <v>736</v>
      </c>
      <c r="N229" s="0" t="s">
        <v>737</v>
      </c>
    </row>
    <row r="230" customFormat="false" ht="12.8" hidden="false" customHeight="false" outlineLevel="0" collapsed="false">
      <c r="A230" s="0" t="n">
        <v>485866</v>
      </c>
      <c r="B230" s="0" t="s">
        <v>738</v>
      </c>
      <c r="C230" s="0" t="s">
        <v>17</v>
      </c>
      <c r="D230" s="0" t="s">
        <v>35</v>
      </c>
      <c r="E230" s="0" t="n">
        <v>39</v>
      </c>
      <c r="F230" s="0" t="s">
        <v>490</v>
      </c>
      <c r="G230" s="0" t="s">
        <v>20</v>
      </c>
      <c r="H230" s="0" t="n">
        <f aca="false">IF(G230=" ALARM",1,0)</f>
        <v>1</v>
      </c>
      <c r="I230" s="0" t="s">
        <v>20</v>
      </c>
      <c r="J230" s="0" t="n">
        <f aca="false">IF(I230=" ALARM",1,0)</f>
        <v>1</v>
      </c>
      <c r="K230" s="0" t="s">
        <v>20</v>
      </c>
      <c r="L230" s="0" t="n">
        <f aca="false">IF(K230=" ALARM",1,0)</f>
        <v>1</v>
      </c>
      <c r="M230" s="0" t="s">
        <v>739</v>
      </c>
      <c r="N230" s="0" t="s">
        <v>740</v>
      </c>
      <c r="O230" s="0" t="s">
        <v>741</v>
      </c>
    </row>
    <row r="231" customFormat="false" ht="12.8" hidden="false" customHeight="false" outlineLevel="0" collapsed="false">
      <c r="A231" s="0" t="n">
        <v>491037</v>
      </c>
      <c r="B231" s="0" t="s">
        <v>742</v>
      </c>
      <c r="C231" s="0" t="s">
        <v>17</v>
      </c>
      <c r="D231" s="0" t="s">
        <v>35</v>
      </c>
      <c r="E231" s="0" t="n">
        <v>39</v>
      </c>
      <c r="F231" s="0" t="s">
        <v>490</v>
      </c>
      <c r="G231" s="0" t="s">
        <v>20</v>
      </c>
      <c r="H231" s="0" t="n">
        <f aca="false">IF(G231=" ALARM",1,0)</f>
        <v>1</v>
      </c>
      <c r="I231" s="0" t="s">
        <v>20</v>
      </c>
      <c r="J231" s="0" t="n">
        <f aca="false">IF(I231=" ALARM",1,0)</f>
        <v>1</v>
      </c>
      <c r="K231" s="0" t="s">
        <v>30</v>
      </c>
      <c r="L231" s="0" t="n">
        <f aca="false">IF(K231=" ALARM",1,0)</f>
        <v>0</v>
      </c>
      <c r="M231" s="0" t="s">
        <v>743</v>
      </c>
      <c r="N231" s="0" t="s">
        <v>744</v>
      </c>
      <c r="O231" s="0" t="s">
        <v>745</v>
      </c>
    </row>
    <row r="232" customFormat="false" ht="12.8" hidden="false" customHeight="false" outlineLevel="0" collapsed="false">
      <c r="A232" s="0" t="n">
        <v>491054</v>
      </c>
      <c r="B232" s="0" t="s">
        <v>746</v>
      </c>
      <c r="C232" s="0" t="s">
        <v>17</v>
      </c>
      <c r="D232" s="0" t="s">
        <v>18</v>
      </c>
      <c r="E232" s="0" t="n">
        <v>39</v>
      </c>
      <c r="F232" s="0" t="s">
        <v>490</v>
      </c>
      <c r="G232" s="0" t="s">
        <v>20</v>
      </c>
      <c r="H232" s="0" t="n">
        <f aca="false">IF(G232=" ALARM",1,0)</f>
        <v>1</v>
      </c>
      <c r="I232" s="0" t="s">
        <v>20</v>
      </c>
      <c r="J232" s="0" t="n">
        <f aca="false">IF(I232=" ALARM",1,0)</f>
        <v>1</v>
      </c>
      <c r="K232" s="0" t="s">
        <v>21</v>
      </c>
      <c r="L232" s="0" t="n">
        <f aca="false">IF(K232=" ALARM",1,0)</f>
        <v>0</v>
      </c>
      <c r="M232" s="0" t="s">
        <v>747</v>
      </c>
      <c r="N232" s="0" t="s">
        <v>748</v>
      </c>
      <c r="O232" s="0" t="s">
        <v>749</v>
      </c>
    </row>
    <row r="233" customFormat="false" ht="12.8" hidden="false" customHeight="false" outlineLevel="0" collapsed="false">
      <c r="A233" s="0" t="n">
        <v>709707</v>
      </c>
      <c r="B233" s="0" t="s">
        <v>750</v>
      </c>
      <c r="C233" s="0" t="s">
        <v>17</v>
      </c>
      <c r="D233" s="0" t="s">
        <v>35</v>
      </c>
      <c r="E233" s="0" t="n">
        <v>39</v>
      </c>
      <c r="F233" s="0" t="s">
        <v>490</v>
      </c>
      <c r="G233" s="0" t="s">
        <v>20</v>
      </c>
      <c r="H233" s="0" t="n">
        <f aca="false">IF(G233=" ALARM",1,0)</f>
        <v>1</v>
      </c>
      <c r="I233" s="0" t="s">
        <v>20</v>
      </c>
      <c r="J233" s="0" t="n">
        <f aca="false">IF(I233=" ALARM",1,0)</f>
        <v>1</v>
      </c>
      <c r="K233" s="0" t="s">
        <v>20</v>
      </c>
      <c r="L233" s="0" t="n">
        <f aca="false">IF(K233=" ALARM",1,0)</f>
        <v>1</v>
      </c>
      <c r="M233" s="0" t="s">
        <v>751</v>
      </c>
      <c r="N233" s="0" t="s">
        <v>752</v>
      </c>
      <c r="O233" s="0" t="s">
        <v>753</v>
      </c>
    </row>
    <row r="234" customFormat="false" ht="12.8" hidden="false" customHeight="false" outlineLevel="0" collapsed="false">
      <c r="A234" s="0" t="n">
        <v>709704</v>
      </c>
      <c r="B234" s="0" t="s">
        <v>754</v>
      </c>
      <c r="C234" s="0" t="s">
        <v>17</v>
      </c>
      <c r="D234" s="0" t="s">
        <v>35</v>
      </c>
      <c r="E234" s="0" t="n">
        <v>39</v>
      </c>
      <c r="F234" s="0" t="s">
        <v>490</v>
      </c>
      <c r="G234" s="0" t="s">
        <v>20</v>
      </c>
      <c r="H234" s="0" t="n">
        <f aca="false">IF(G234=" ALARM",1,0)</f>
        <v>1</v>
      </c>
      <c r="I234" s="0" t="s">
        <v>20</v>
      </c>
      <c r="J234" s="0" t="n">
        <f aca="false">IF(I234=" ALARM",1,0)</f>
        <v>1</v>
      </c>
      <c r="K234" s="0" t="s">
        <v>20</v>
      </c>
      <c r="L234" s="0" t="n">
        <f aca="false">IF(K234=" ALARM",1,0)</f>
        <v>1</v>
      </c>
      <c r="M234" s="0" t="s">
        <v>755</v>
      </c>
      <c r="N234" s="0" t="s">
        <v>756</v>
      </c>
      <c r="O234" s="0" t="s">
        <v>753</v>
      </c>
    </row>
    <row r="235" customFormat="false" ht="12.8" hidden="false" customHeight="false" outlineLevel="0" collapsed="false">
      <c r="A235" s="0" t="n">
        <v>709690</v>
      </c>
      <c r="B235" s="0" t="s">
        <v>757</v>
      </c>
      <c r="C235" s="0" t="s">
        <v>17</v>
      </c>
      <c r="D235" s="0" t="s">
        <v>35</v>
      </c>
      <c r="E235" s="0" t="n">
        <v>39</v>
      </c>
      <c r="F235" s="0" t="s">
        <v>490</v>
      </c>
      <c r="G235" s="0" t="s">
        <v>20</v>
      </c>
      <c r="H235" s="0" t="n">
        <f aca="false">IF(G235=" ALARM",1,0)</f>
        <v>1</v>
      </c>
      <c r="I235" s="0" t="s">
        <v>20</v>
      </c>
      <c r="J235" s="0" t="n">
        <f aca="false">IF(I235=" ALARM",1,0)</f>
        <v>1</v>
      </c>
      <c r="K235" s="0" t="s">
        <v>20</v>
      </c>
      <c r="L235" s="0" t="n">
        <f aca="false">IF(K235=" ALARM",1,0)</f>
        <v>1</v>
      </c>
      <c r="M235" s="0" t="s">
        <v>758</v>
      </c>
      <c r="N235" s="0" t="s">
        <v>759</v>
      </c>
      <c r="O235" s="0" t="s">
        <v>753</v>
      </c>
    </row>
    <row r="236" customFormat="false" ht="12.8" hidden="false" customHeight="false" outlineLevel="0" collapsed="false">
      <c r="A236" s="0" t="n">
        <v>709683</v>
      </c>
      <c r="B236" s="0" t="s">
        <v>760</v>
      </c>
      <c r="C236" s="0" t="s">
        <v>17</v>
      </c>
      <c r="D236" s="0" t="s">
        <v>35</v>
      </c>
      <c r="E236" s="0" t="n">
        <v>39</v>
      </c>
      <c r="F236" s="0" t="s">
        <v>490</v>
      </c>
      <c r="G236" s="0" t="s">
        <v>20</v>
      </c>
      <c r="H236" s="0" t="n">
        <f aca="false">IF(G236=" ALARM",1,0)</f>
        <v>1</v>
      </c>
      <c r="I236" s="0" t="s">
        <v>20</v>
      </c>
      <c r="J236" s="0" t="n">
        <f aca="false">IF(I236=" ALARM",1,0)</f>
        <v>1</v>
      </c>
      <c r="K236" s="0" t="s">
        <v>20</v>
      </c>
      <c r="L236" s="0" t="n">
        <f aca="false">IF(K236=" ALARM",1,0)</f>
        <v>1</v>
      </c>
      <c r="M236" s="0" t="s">
        <v>761</v>
      </c>
      <c r="N236" s="0" t="s">
        <v>762</v>
      </c>
      <c r="O236" s="0" t="s">
        <v>753</v>
      </c>
    </row>
    <row r="237" customFormat="false" ht="12.8" hidden="false" customHeight="false" outlineLevel="0" collapsed="false">
      <c r="A237" s="0" t="n">
        <v>709672</v>
      </c>
      <c r="B237" s="0" t="s">
        <v>763</v>
      </c>
      <c r="C237" s="0" t="s">
        <v>17</v>
      </c>
      <c r="D237" s="0" t="s">
        <v>35</v>
      </c>
      <c r="E237" s="0" t="n">
        <v>39</v>
      </c>
      <c r="F237" s="0" t="s">
        <v>490</v>
      </c>
      <c r="G237" s="0" t="s">
        <v>20</v>
      </c>
      <c r="H237" s="0" t="n">
        <f aca="false">IF(G237=" ALARM",1,0)</f>
        <v>1</v>
      </c>
      <c r="I237" s="0" t="s">
        <v>20</v>
      </c>
      <c r="J237" s="0" t="n">
        <f aca="false">IF(I237=" ALARM",1,0)</f>
        <v>1</v>
      </c>
      <c r="K237" s="0" t="s">
        <v>20</v>
      </c>
      <c r="L237" s="0" t="n">
        <f aca="false">IF(K237=" ALARM",1,0)</f>
        <v>1</v>
      </c>
      <c r="M237" s="0" t="s">
        <v>764</v>
      </c>
      <c r="N237" s="0" t="s">
        <v>765</v>
      </c>
      <c r="O237" s="0" t="s">
        <v>753</v>
      </c>
    </row>
    <row r="238" customFormat="false" ht="12.8" hidden="false" customHeight="false" outlineLevel="0" collapsed="false">
      <c r="A238" s="0" t="n">
        <v>709666</v>
      </c>
      <c r="B238" s="0" t="s">
        <v>766</v>
      </c>
      <c r="C238" s="0" t="s">
        <v>17</v>
      </c>
      <c r="D238" s="0" t="s">
        <v>35</v>
      </c>
      <c r="E238" s="0" t="n">
        <v>39</v>
      </c>
      <c r="F238" s="0" t="s">
        <v>490</v>
      </c>
      <c r="G238" s="0" t="s">
        <v>20</v>
      </c>
      <c r="H238" s="0" t="n">
        <f aca="false">IF(G238=" ALARM",1,0)</f>
        <v>1</v>
      </c>
      <c r="I238" s="0" t="s">
        <v>20</v>
      </c>
      <c r="J238" s="0" t="n">
        <f aca="false">IF(I238=" ALARM",1,0)</f>
        <v>1</v>
      </c>
      <c r="K238" s="0" t="s">
        <v>20</v>
      </c>
      <c r="L238" s="0" t="n">
        <f aca="false">IF(K238=" ALARM",1,0)</f>
        <v>1</v>
      </c>
      <c r="M238" s="0" t="s">
        <v>767</v>
      </c>
      <c r="N238" s="0" t="s">
        <v>768</v>
      </c>
      <c r="O238" s="0" t="s">
        <v>753</v>
      </c>
    </row>
    <row r="239" customFormat="false" ht="12.8" hidden="false" customHeight="false" outlineLevel="0" collapsed="false">
      <c r="A239" s="0" t="n">
        <v>508649</v>
      </c>
      <c r="B239" s="0" t="s">
        <v>769</v>
      </c>
      <c r="C239" s="0" t="s">
        <v>17</v>
      </c>
      <c r="D239" s="0" t="s">
        <v>35</v>
      </c>
      <c r="E239" s="0" t="n">
        <v>39</v>
      </c>
      <c r="F239" s="0" t="s">
        <v>490</v>
      </c>
      <c r="G239" s="0" t="s">
        <v>20</v>
      </c>
      <c r="H239" s="0" t="n">
        <f aca="false">IF(G239=" ALARM",1,0)</f>
        <v>1</v>
      </c>
      <c r="I239" s="0" t="s">
        <v>20</v>
      </c>
      <c r="J239" s="0" t="n">
        <f aca="false">IF(I239=" ALARM",1,0)</f>
        <v>1</v>
      </c>
      <c r="K239" s="0" t="s">
        <v>20</v>
      </c>
      <c r="L239" s="0" t="n">
        <f aca="false">IF(K239=" ALARM",1,0)</f>
        <v>1</v>
      </c>
      <c r="M239" s="0" t="s">
        <v>770</v>
      </c>
      <c r="N239" s="0" t="s">
        <v>771</v>
      </c>
      <c r="O239" s="0" t="s">
        <v>772</v>
      </c>
    </row>
    <row r="240" customFormat="false" ht="12.8" hidden="false" customHeight="false" outlineLevel="0" collapsed="false">
      <c r="A240" s="0" t="n">
        <v>512552</v>
      </c>
      <c r="B240" s="0" t="s">
        <v>773</v>
      </c>
      <c r="C240" s="0" t="s">
        <v>17</v>
      </c>
      <c r="D240" s="0" t="s">
        <v>35</v>
      </c>
      <c r="E240" s="0" t="n">
        <v>733</v>
      </c>
      <c r="F240" s="0" t="s">
        <v>52</v>
      </c>
      <c r="G240" s="0" t="s">
        <v>20</v>
      </c>
      <c r="H240" s="0" t="n">
        <f aca="false">IF(G240=" ALARM",1,0)</f>
        <v>1</v>
      </c>
      <c r="I240" s="0" t="s">
        <v>20</v>
      </c>
      <c r="J240" s="0" t="n">
        <f aca="false">IF(I240=" ALARM",1,0)</f>
        <v>1</v>
      </c>
      <c r="K240" s="0" t="s">
        <v>20</v>
      </c>
      <c r="L240" s="0" t="n">
        <f aca="false">IF(K240=" ALARM",1,0)</f>
        <v>1</v>
      </c>
      <c r="M240" s="0" t="s">
        <v>774</v>
      </c>
      <c r="N240" s="0" t="s">
        <v>775</v>
      </c>
    </row>
    <row r="241" customFormat="false" ht="12.8" hidden="false" customHeight="false" outlineLevel="0" collapsed="false">
      <c r="A241" s="0" t="n">
        <v>512774</v>
      </c>
      <c r="B241" s="0" t="s">
        <v>776</v>
      </c>
      <c r="C241" s="0" t="s">
        <v>17</v>
      </c>
      <c r="D241" s="0" t="s">
        <v>35</v>
      </c>
      <c r="E241" s="0" t="n">
        <v>733</v>
      </c>
      <c r="F241" s="0" t="s">
        <v>52</v>
      </c>
      <c r="G241" s="0" t="s">
        <v>20</v>
      </c>
      <c r="H241" s="0" t="n">
        <f aca="false">IF(G241=" ALARM",1,0)</f>
        <v>1</v>
      </c>
      <c r="I241" s="0" t="s">
        <v>20</v>
      </c>
      <c r="J241" s="0" t="n">
        <f aca="false">IF(I241=" ALARM",1,0)</f>
        <v>1</v>
      </c>
      <c r="K241" s="0" t="s">
        <v>20</v>
      </c>
      <c r="L241" s="0" t="n">
        <f aca="false">IF(K241=" ALARM",1,0)</f>
        <v>1</v>
      </c>
      <c r="M241" s="0" t="s">
        <v>777</v>
      </c>
      <c r="N241" s="0" t="s">
        <v>778</v>
      </c>
    </row>
    <row r="242" customFormat="false" ht="12.8" hidden="false" customHeight="false" outlineLevel="0" collapsed="false">
      <c r="A242" s="0" t="n">
        <v>512134</v>
      </c>
      <c r="B242" s="0" t="s">
        <v>779</v>
      </c>
      <c r="C242" s="0" t="s">
        <v>17</v>
      </c>
      <c r="D242" s="0" t="s">
        <v>35</v>
      </c>
      <c r="E242" s="0" t="n">
        <v>1134</v>
      </c>
      <c r="F242" s="0" t="s">
        <v>52</v>
      </c>
      <c r="G242" s="0" t="s">
        <v>21</v>
      </c>
      <c r="H242" s="0" t="n">
        <f aca="false">IF(G242=" ALARM",1,0)</f>
        <v>0</v>
      </c>
      <c r="I242" s="0" t="s">
        <v>21</v>
      </c>
      <c r="J242" s="0" t="n">
        <f aca="false">IF(I242=" ALARM",1,0)</f>
        <v>0</v>
      </c>
      <c r="K242" s="0" t="s">
        <v>20</v>
      </c>
      <c r="L242" s="0" t="n">
        <f aca="false">IF(K242=" ALARM",1,0)</f>
        <v>1</v>
      </c>
      <c r="M242" s="0" t="s">
        <v>440</v>
      </c>
      <c r="N242" s="0" t="s">
        <v>440</v>
      </c>
      <c r="O242" s="0" t="s">
        <v>780</v>
      </c>
    </row>
    <row r="243" customFormat="false" ht="12.8" hidden="false" customHeight="false" outlineLevel="0" collapsed="false">
      <c r="A243" s="0" t="n">
        <v>513331</v>
      </c>
      <c r="B243" s="0" t="s">
        <v>781</v>
      </c>
      <c r="C243" s="0" t="s">
        <v>17</v>
      </c>
      <c r="D243" s="0" t="s">
        <v>18</v>
      </c>
      <c r="E243" s="0" t="n">
        <v>39</v>
      </c>
      <c r="F243" s="0" t="s">
        <v>490</v>
      </c>
      <c r="G243" s="0" t="s">
        <v>20</v>
      </c>
      <c r="H243" s="0" t="n">
        <f aca="false">IF(G243=" ALARM",1,0)</f>
        <v>1</v>
      </c>
      <c r="I243" s="0" t="s">
        <v>20</v>
      </c>
      <c r="J243" s="0" t="n">
        <f aca="false">IF(I243=" ALARM",1,0)</f>
        <v>1</v>
      </c>
      <c r="K243" s="0" t="s">
        <v>20</v>
      </c>
      <c r="L243" s="0" t="n">
        <f aca="false">IF(K243=" ALARM",1,0)</f>
        <v>1</v>
      </c>
      <c r="M243" s="0" t="s">
        <v>782</v>
      </c>
      <c r="N243" s="0" t="s">
        <v>783</v>
      </c>
      <c r="O243" s="0" t="s">
        <v>784</v>
      </c>
    </row>
    <row r="244" customFormat="false" ht="12.8" hidden="false" customHeight="false" outlineLevel="0" collapsed="false">
      <c r="A244" s="0" t="n">
        <v>513065</v>
      </c>
      <c r="B244" s="0" t="s">
        <v>785</v>
      </c>
      <c r="C244" s="0" t="s">
        <v>17</v>
      </c>
      <c r="D244" s="0" t="s">
        <v>35</v>
      </c>
      <c r="E244" s="0" t="n">
        <v>733</v>
      </c>
      <c r="F244" s="0" t="s">
        <v>52</v>
      </c>
      <c r="G244" s="0" t="s">
        <v>20</v>
      </c>
      <c r="H244" s="0" t="n">
        <f aca="false">IF(G244=" ALARM",1,0)</f>
        <v>1</v>
      </c>
      <c r="I244" s="0" t="s">
        <v>20</v>
      </c>
      <c r="J244" s="0" t="n">
        <f aca="false">IF(I244=" ALARM",1,0)</f>
        <v>1</v>
      </c>
      <c r="K244" s="0" t="s">
        <v>20</v>
      </c>
      <c r="L244" s="0" t="n">
        <f aca="false">IF(K244=" ALARM",1,0)</f>
        <v>1</v>
      </c>
      <c r="M244" s="0" t="s">
        <v>786</v>
      </c>
      <c r="N244" s="0" t="s">
        <v>787</v>
      </c>
    </row>
    <row r="245" customFormat="false" ht="12.8" hidden="false" customHeight="false" outlineLevel="0" collapsed="false">
      <c r="A245" s="0" t="n">
        <v>537129</v>
      </c>
      <c r="B245" s="0" t="s">
        <v>788</v>
      </c>
      <c r="C245" s="0" t="s">
        <v>17</v>
      </c>
      <c r="D245" s="0" t="s">
        <v>35</v>
      </c>
      <c r="E245" s="0" t="n">
        <v>39</v>
      </c>
      <c r="F245" s="0" t="s">
        <v>490</v>
      </c>
      <c r="G245" s="0" t="s">
        <v>20</v>
      </c>
      <c r="H245" s="0" t="n">
        <f aca="false">IF(G245=" ALARM",1,0)</f>
        <v>1</v>
      </c>
      <c r="I245" s="0" t="s">
        <v>20</v>
      </c>
      <c r="J245" s="0" t="n">
        <f aca="false">IF(I245=" ALARM",1,0)</f>
        <v>1</v>
      </c>
      <c r="K245" s="0" t="s">
        <v>20</v>
      </c>
      <c r="L245" s="0" t="n">
        <f aca="false">IF(K245=" ALARM",1,0)</f>
        <v>1</v>
      </c>
      <c r="M245" s="0" t="s">
        <v>789</v>
      </c>
      <c r="N245" s="0" t="s">
        <v>790</v>
      </c>
      <c r="O245" s="0" t="s">
        <v>791</v>
      </c>
    </row>
    <row r="246" customFormat="false" ht="12.8" hidden="false" customHeight="false" outlineLevel="0" collapsed="false">
      <c r="A246" s="0" t="n">
        <v>537148</v>
      </c>
      <c r="B246" s="0" t="s">
        <v>792</v>
      </c>
      <c r="C246" s="0" t="s">
        <v>17</v>
      </c>
      <c r="D246" s="0" t="s">
        <v>35</v>
      </c>
      <c r="E246" s="0" t="n">
        <v>39</v>
      </c>
      <c r="F246" s="0" t="s">
        <v>490</v>
      </c>
      <c r="G246" s="0" t="s">
        <v>20</v>
      </c>
      <c r="H246" s="0" t="n">
        <f aca="false">IF(G246=" ALARM",1,0)</f>
        <v>1</v>
      </c>
      <c r="I246" s="0" t="s">
        <v>20</v>
      </c>
      <c r="J246" s="0" t="n">
        <f aca="false">IF(I246=" ALARM",1,0)</f>
        <v>1</v>
      </c>
      <c r="K246" s="0" t="s">
        <v>20</v>
      </c>
      <c r="L246" s="0" t="n">
        <f aca="false">IF(K246=" ALARM",1,0)</f>
        <v>1</v>
      </c>
      <c r="M246" s="0" t="s">
        <v>793</v>
      </c>
      <c r="N246" s="0" t="s">
        <v>794</v>
      </c>
      <c r="O246" s="0" t="s">
        <v>791</v>
      </c>
    </row>
    <row r="247" customFormat="false" ht="12.8" hidden="false" customHeight="false" outlineLevel="0" collapsed="false">
      <c r="A247" s="0" t="n">
        <v>537159</v>
      </c>
      <c r="B247" s="0" t="s">
        <v>795</v>
      </c>
      <c r="C247" s="0" t="s">
        <v>17</v>
      </c>
      <c r="D247" s="0" t="s">
        <v>18</v>
      </c>
      <c r="E247" s="0" t="n">
        <v>39</v>
      </c>
      <c r="F247" s="0" t="s">
        <v>490</v>
      </c>
      <c r="G247" s="0" t="s">
        <v>20</v>
      </c>
      <c r="H247" s="0" t="n">
        <f aca="false">IF(G247=" ALARM",1,0)</f>
        <v>1</v>
      </c>
      <c r="I247" s="0" t="s">
        <v>20</v>
      </c>
      <c r="J247" s="0" t="n">
        <f aca="false">IF(I247=" ALARM",1,0)</f>
        <v>1</v>
      </c>
      <c r="K247" s="0" t="s">
        <v>20</v>
      </c>
      <c r="L247" s="0" t="n">
        <f aca="false">IF(K247=" ALARM",1,0)</f>
        <v>1</v>
      </c>
      <c r="M247" s="0" t="s">
        <v>796</v>
      </c>
      <c r="N247" s="0" t="s">
        <v>797</v>
      </c>
      <c r="O247" s="0" t="s">
        <v>798</v>
      </c>
    </row>
    <row r="248" customFormat="false" ht="12.8" hidden="false" customHeight="false" outlineLevel="0" collapsed="false">
      <c r="A248" s="0" t="n">
        <v>561602</v>
      </c>
      <c r="B248" s="0" t="s">
        <v>799</v>
      </c>
      <c r="C248" s="0" t="s">
        <v>17</v>
      </c>
      <c r="D248" s="0" t="s">
        <v>35</v>
      </c>
      <c r="E248" s="0" t="n">
        <v>39</v>
      </c>
      <c r="F248" s="0" t="s">
        <v>490</v>
      </c>
      <c r="G248" s="0" t="s">
        <v>20</v>
      </c>
      <c r="H248" s="0" t="n">
        <f aca="false">IF(G248=" ALARM",1,0)</f>
        <v>1</v>
      </c>
      <c r="I248" s="0" t="s">
        <v>20</v>
      </c>
      <c r="J248" s="0" t="n">
        <f aca="false">IF(I248=" ALARM",1,0)</f>
        <v>1</v>
      </c>
      <c r="K248" s="0" t="s">
        <v>20</v>
      </c>
      <c r="L248" s="0" t="n">
        <f aca="false">IF(K248=" ALARM",1,0)</f>
        <v>1</v>
      </c>
      <c r="M248" s="0" t="s">
        <v>800</v>
      </c>
      <c r="N248" s="0" t="s">
        <v>801</v>
      </c>
      <c r="O248" s="0" t="s">
        <v>701</v>
      </c>
    </row>
    <row r="249" customFormat="false" ht="12.8" hidden="false" customHeight="false" outlineLevel="0" collapsed="false">
      <c r="A249" s="0" t="n">
        <v>588755</v>
      </c>
      <c r="B249" s="0" t="s">
        <v>802</v>
      </c>
      <c r="C249" s="0" t="s">
        <v>17</v>
      </c>
      <c r="D249" s="0" t="s">
        <v>18</v>
      </c>
      <c r="E249" s="0" t="n">
        <v>1176</v>
      </c>
      <c r="F249" s="0" t="s">
        <v>52</v>
      </c>
      <c r="G249" s="0" t="s">
        <v>30</v>
      </c>
      <c r="H249" s="0" t="n">
        <f aca="false">IF(G249=" ALARM",1,0)</f>
        <v>0</v>
      </c>
      <c r="I249" s="0" t="s">
        <v>20</v>
      </c>
      <c r="J249" s="0" t="n">
        <f aca="false">IF(I249=" ALARM",1,0)</f>
        <v>1</v>
      </c>
      <c r="K249" s="0" t="s">
        <v>20</v>
      </c>
      <c r="L249" s="0" t="n">
        <f aca="false">IF(K249=" ALARM",1,0)</f>
        <v>1</v>
      </c>
      <c r="M249" s="0" t="s">
        <v>803</v>
      </c>
      <c r="N249" s="0" t="s">
        <v>804</v>
      </c>
      <c r="O249" s="0" t="s">
        <v>666</v>
      </c>
    </row>
    <row r="250" customFormat="false" ht="12.8" hidden="false" customHeight="false" outlineLevel="0" collapsed="false">
      <c r="A250" s="0" t="n">
        <v>799837</v>
      </c>
      <c r="B250" s="0" t="s">
        <v>805</v>
      </c>
      <c r="C250" s="0" t="s">
        <v>17</v>
      </c>
      <c r="D250" s="0" t="s">
        <v>35</v>
      </c>
      <c r="E250" s="0" t="n">
        <v>39</v>
      </c>
      <c r="F250" s="0" t="s">
        <v>490</v>
      </c>
      <c r="G250" s="0" t="s">
        <v>20</v>
      </c>
      <c r="H250" s="0" t="n">
        <f aca="false">IF(G250=" ALARM",1,0)</f>
        <v>1</v>
      </c>
      <c r="I250" s="0" t="s">
        <v>20</v>
      </c>
      <c r="J250" s="0" t="n">
        <f aca="false">IF(I250=" ALARM",1,0)</f>
        <v>1</v>
      </c>
      <c r="K250" s="0" t="s">
        <v>30</v>
      </c>
      <c r="L250" s="0" t="n">
        <f aca="false">IF(K250=" ALARM",1,0)</f>
        <v>0</v>
      </c>
      <c r="M250" s="0" t="s">
        <v>806</v>
      </c>
      <c r="N250" s="0" t="s">
        <v>807</v>
      </c>
      <c r="O250" s="0" t="s">
        <v>808</v>
      </c>
    </row>
    <row r="251" customFormat="false" ht="12.8" hidden="false" customHeight="false" outlineLevel="0" collapsed="false">
      <c r="A251" s="0" t="n">
        <v>791306</v>
      </c>
      <c r="B251" s="0" t="s">
        <v>809</v>
      </c>
      <c r="C251" s="0" t="s">
        <v>17</v>
      </c>
      <c r="D251" s="0" t="s">
        <v>35</v>
      </c>
      <c r="E251" s="0" t="n">
        <v>733</v>
      </c>
      <c r="F251" s="0" t="s">
        <v>52</v>
      </c>
      <c r="G251" s="0" t="s">
        <v>20</v>
      </c>
      <c r="H251" s="0" t="n">
        <f aca="false">IF(G251=" ALARM",1,0)</f>
        <v>1</v>
      </c>
      <c r="I251" s="0" t="s">
        <v>20</v>
      </c>
      <c r="J251" s="0" t="n">
        <f aca="false">IF(I251=" ALARM",1,0)</f>
        <v>1</v>
      </c>
      <c r="K251" s="0" t="s">
        <v>20</v>
      </c>
      <c r="L251" s="0" t="n">
        <f aca="false">IF(K251=" ALARM",1,0)</f>
        <v>1</v>
      </c>
      <c r="M251" s="0" t="s">
        <v>810</v>
      </c>
      <c r="N251" s="0" t="s">
        <v>811</v>
      </c>
    </row>
    <row r="252" customFormat="false" ht="12.8" hidden="false" customHeight="false" outlineLevel="0" collapsed="false">
      <c r="A252" s="0" t="n">
        <v>791503</v>
      </c>
      <c r="B252" s="0" t="s">
        <v>812</v>
      </c>
      <c r="C252" s="0" t="s">
        <v>17</v>
      </c>
      <c r="D252" s="0" t="s">
        <v>35</v>
      </c>
      <c r="E252" s="0" t="n">
        <v>733</v>
      </c>
      <c r="F252" s="0" t="s">
        <v>52</v>
      </c>
      <c r="G252" s="0" t="s">
        <v>20</v>
      </c>
      <c r="H252" s="0" t="n">
        <f aca="false">IF(G252=" ALARM",1,0)</f>
        <v>1</v>
      </c>
      <c r="I252" s="0" t="s">
        <v>20</v>
      </c>
      <c r="J252" s="0" t="n">
        <f aca="false">IF(I252=" ALARM",1,0)</f>
        <v>1</v>
      </c>
      <c r="K252" s="0" t="s">
        <v>20</v>
      </c>
      <c r="L252" s="0" t="n">
        <f aca="false">IF(K252=" ALARM",1,0)</f>
        <v>1</v>
      </c>
      <c r="M252" s="0" t="s">
        <v>813</v>
      </c>
      <c r="N252" s="0" t="s">
        <v>814</v>
      </c>
    </row>
    <row r="253" customFormat="false" ht="12.8" hidden="false" customHeight="false" outlineLevel="0" collapsed="false">
      <c r="A253" s="0" t="n">
        <v>791652</v>
      </c>
      <c r="B253" s="0" t="s">
        <v>815</v>
      </c>
      <c r="C253" s="0" t="s">
        <v>17</v>
      </c>
      <c r="D253" s="0" t="s">
        <v>35</v>
      </c>
      <c r="E253" s="0" t="n">
        <v>733</v>
      </c>
      <c r="F253" s="0" t="s">
        <v>52</v>
      </c>
      <c r="G253" s="0" t="s">
        <v>20</v>
      </c>
      <c r="H253" s="0" t="n">
        <f aca="false">IF(G253=" ALARM",1,0)</f>
        <v>1</v>
      </c>
      <c r="I253" s="0" t="s">
        <v>20</v>
      </c>
      <c r="J253" s="0" t="n">
        <f aca="false">IF(I253=" ALARM",1,0)</f>
        <v>1</v>
      </c>
      <c r="K253" s="0" t="s">
        <v>20</v>
      </c>
      <c r="L253" s="0" t="n">
        <f aca="false">IF(K253=" ALARM",1,0)</f>
        <v>1</v>
      </c>
      <c r="M253" s="0" t="s">
        <v>816</v>
      </c>
      <c r="N253" s="0" t="s">
        <v>817</v>
      </c>
    </row>
    <row r="254" customFormat="false" ht="12.8" hidden="false" customHeight="false" outlineLevel="0" collapsed="false">
      <c r="A254" s="0" t="n">
        <v>797574</v>
      </c>
      <c r="B254" s="0" t="s">
        <v>818</v>
      </c>
      <c r="C254" s="0" t="s">
        <v>17</v>
      </c>
      <c r="D254" s="0" t="s">
        <v>36</v>
      </c>
      <c r="E254" s="0" t="n">
        <v>1409</v>
      </c>
      <c r="F254" s="0" t="s">
        <v>52</v>
      </c>
      <c r="G254" s="0" t="s">
        <v>20</v>
      </c>
      <c r="H254" s="0" t="n">
        <f aca="false">IF(G254=" ALARM",1,0)</f>
        <v>1</v>
      </c>
      <c r="I254" s="0" t="s">
        <v>20</v>
      </c>
      <c r="J254" s="0" t="n">
        <f aca="false">IF(I254=" ALARM",1,0)</f>
        <v>1</v>
      </c>
      <c r="K254" s="0" t="s">
        <v>20</v>
      </c>
      <c r="L254" s="0" t="n">
        <f aca="false">IF(K254=" ALARM",1,0)</f>
        <v>1</v>
      </c>
      <c r="M254" s="0" t="s">
        <v>819</v>
      </c>
      <c r="N254" s="0" t="s">
        <v>820</v>
      </c>
      <c r="O254" s="0" t="s">
        <v>821</v>
      </c>
    </row>
    <row r="255" customFormat="false" ht="12.8" hidden="false" customHeight="false" outlineLevel="0" collapsed="false">
      <c r="A255" s="0" t="n">
        <v>807023</v>
      </c>
      <c r="B255" s="0" t="s">
        <v>822</v>
      </c>
      <c r="C255" s="0" t="s">
        <v>17</v>
      </c>
      <c r="D255" s="0" t="s">
        <v>18</v>
      </c>
      <c r="E255" s="0" t="n">
        <v>1176</v>
      </c>
      <c r="F255" s="0" t="s">
        <v>52</v>
      </c>
      <c r="G255" s="0" t="s">
        <v>21</v>
      </c>
      <c r="H255" s="0" t="n">
        <f aca="false">IF(G255=" ALARM",1,0)</f>
        <v>0</v>
      </c>
      <c r="I255" s="0" t="s">
        <v>21</v>
      </c>
      <c r="J255" s="0" t="n">
        <f aca="false">IF(I255=" ALARM",1,0)</f>
        <v>0</v>
      </c>
      <c r="K255" s="0" t="s">
        <v>20</v>
      </c>
      <c r="L255" s="0" t="n">
        <f aca="false">IF(K255=" ALARM",1,0)</f>
        <v>1</v>
      </c>
      <c r="M255" s="0" t="s">
        <v>823</v>
      </c>
      <c r="N255" s="0" t="s">
        <v>823</v>
      </c>
    </row>
    <row r="256" customFormat="false" ht="12.8" hidden="false" customHeight="false" outlineLevel="0" collapsed="false">
      <c r="A256" s="0" t="n">
        <v>847486</v>
      </c>
      <c r="B256" s="0" t="s">
        <v>824</v>
      </c>
      <c r="C256" s="0" t="s">
        <v>17</v>
      </c>
      <c r="D256" s="0" t="s">
        <v>18</v>
      </c>
      <c r="E256" s="0" t="n">
        <v>1246</v>
      </c>
      <c r="F256" s="0" t="s">
        <v>52</v>
      </c>
      <c r="G256" s="0" t="s">
        <v>30</v>
      </c>
      <c r="H256" s="0" t="n">
        <f aca="false">IF(G256=" ALARM",1,0)</f>
        <v>0</v>
      </c>
      <c r="I256" s="0" t="s">
        <v>20</v>
      </c>
      <c r="J256" s="0" t="n">
        <f aca="false">IF(I256=" ALARM",1,0)</f>
        <v>1</v>
      </c>
      <c r="K256" s="0" t="s">
        <v>20</v>
      </c>
      <c r="L256" s="0" t="n">
        <f aca="false">IF(K256=" ALARM",1,0)</f>
        <v>1</v>
      </c>
      <c r="M256" s="0" t="s">
        <v>692</v>
      </c>
      <c r="N256" s="0" t="s">
        <v>825</v>
      </c>
    </row>
    <row r="257" customFormat="false" ht="12.8" hidden="false" customHeight="false" outlineLevel="0" collapsed="false">
      <c r="A257" s="0" t="n">
        <v>847541</v>
      </c>
      <c r="B257" s="0" t="s">
        <v>826</v>
      </c>
      <c r="C257" s="0" t="s">
        <v>17</v>
      </c>
      <c r="D257" s="0" t="s">
        <v>18</v>
      </c>
      <c r="E257" s="0" t="n">
        <v>1246</v>
      </c>
      <c r="F257" s="0" t="s">
        <v>52</v>
      </c>
      <c r="G257" s="0" t="s">
        <v>30</v>
      </c>
      <c r="H257" s="0" t="n">
        <f aca="false">IF(G257=" ALARM",1,0)</f>
        <v>0</v>
      </c>
      <c r="I257" s="0" t="s">
        <v>20</v>
      </c>
      <c r="J257" s="0" t="n">
        <f aca="false">IF(I257=" ALARM",1,0)</f>
        <v>1</v>
      </c>
      <c r="K257" s="0" t="s">
        <v>30</v>
      </c>
      <c r="L257" s="0" t="n">
        <f aca="false">IF(K257=" ALARM",1,0)</f>
        <v>0</v>
      </c>
      <c r="M257" s="0" t="s">
        <v>827</v>
      </c>
      <c r="N257" s="0" t="s">
        <v>828</v>
      </c>
    </row>
    <row r="258" customFormat="false" ht="12.8" hidden="false" customHeight="false" outlineLevel="0" collapsed="false">
      <c r="A258" s="0" t="n">
        <v>870676</v>
      </c>
      <c r="B258" s="0" t="s">
        <v>829</v>
      </c>
      <c r="C258" s="0" t="s">
        <v>17</v>
      </c>
      <c r="D258" s="0" t="s">
        <v>35</v>
      </c>
      <c r="E258" s="0" t="n">
        <v>39</v>
      </c>
      <c r="F258" s="0" t="s">
        <v>490</v>
      </c>
      <c r="G258" s="0" t="s">
        <v>20</v>
      </c>
      <c r="H258" s="0" t="n">
        <f aca="false">IF(G258=" ALARM",1,0)</f>
        <v>1</v>
      </c>
      <c r="I258" s="0" t="s">
        <v>20</v>
      </c>
      <c r="J258" s="0" t="n">
        <f aca="false">IF(I258=" ALARM",1,0)</f>
        <v>1</v>
      </c>
      <c r="K258" s="0" t="s">
        <v>20</v>
      </c>
      <c r="L258" s="0" t="n">
        <f aca="false">IF(K258=" ALARM",1,0)</f>
        <v>1</v>
      </c>
      <c r="M258" s="0" t="s">
        <v>830</v>
      </c>
      <c r="N258" s="0" t="s">
        <v>831</v>
      </c>
      <c r="O258" s="0" t="s">
        <v>832</v>
      </c>
    </row>
    <row r="259" customFormat="false" ht="12.8" hidden="false" customHeight="false" outlineLevel="0" collapsed="false">
      <c r="A259" s="0" t="n">
        <v>862324</v>
      </c>
      <c r="B259" s="0" t="s">
        <v>833</v>
      </c>
      <c r="C259" s="0" t="s">
        <v>17</v>
      </c>
      <c r="D259" s="0" t="s">
        <v>35</v>
      </c>
      <c r="E259" s="0" t="n">
        <v>1422</v>
      </c>
      <c r="F259" s="0" t="s">
        <v>52</v>
      </c>
      <c r="G259" s="0" t="s">
        <v>20</v>
      </c>
      <c r="H259" s="0" t="n">
        <f aca="false">IF(G259=" ALARM",1,0)</f>
        <v>1</v>
      </c>
      <c r="I259" s="0" t="s">
        <v>20</v>
      </c>
      <c r="J259" s="0" t="n">
        <f aca="false">IF(I259=" ALARM",1,0)</f>
        <v>1</v>
      </c>
      <c r="K259" s="0" t="s">
        <v>30</v>
      </c>
      <c r="L259" s="0" t="n">
        <f aca="false">IF(K259=" ALARM",1,0)</f>
        <v>0</v>
      </c>
      <c r="M259" s="0" t="s">
        <v>834</v>
      </c>
      <c r="N259" s="0" t="s">
        <v>835</v>
      </c>
    </row>
    <row r="260" customFormat="false" ht="12.8" hidden="false" customHeight="false" outlineLevel="0" collapsed="false">
      <c r="A260" s="0" t="n">
        <v>862325</v>
      </c>
      <c r="B260" s="0" t="s">
        <v>836</v>
      </c>
      <c r="C260" s="0" t="s">
        <v>17</v>
      </c>
      <c r="D260" s="0" t="s">
        <v>35</v>
      </c>
      <c r="E260" s="0" t="n">
        <v>1422</v>
      </c>
      <c r="F260" s="0" t="s">
        <v>52</v>
      </c>
      <c r="G260" s="0" t="s">
        <v>20</v>
      </c>
      <c r="H260" s="0" t="n">
        <f aca="false">IF(G260=" ALARM",1,0)</f>
        <v>1</v>
      </c>
      <c r="I260" s="0" t="s">
        <v>20</v>
      </c>
      <c r="J260" s="0" t="n">
        <f aca="false">IF(I260=" ALARM",1,0)</f>
        <v>1</v>
      </c>
      <c r="K260" s="0" t="s">
        <v>30</v>
      </c>
      <c r="L260" s="0" t="n">
        <f aca="false">IF(K260=" ALARM",1,0)</f>
        <v>0</v>
      </c>
      <c r="M260" s="0" t="s">
        <v>837</v>
      </c>
      <c r="N260" s="0" t="s">
        <v>838</v>
      </c>
    </row>
    <row r="261" customFormat="false" ht="12.8" hidden="false" customHeight="false" outlineLevel="0" collapsed="false">
      <c r="A261" s="0" t="n">
        <v>862327</v>
      </c>
      <c r="B261" s="0" t="s">
        <v>839</v>
      </c>
      <c r="C261" s="0" t="s">
        <v>17</v>
      </c>
      <c r="D261" s="0" t="s">
        <v>35</v>
      </c>
      <c r="E261" s="0" t="n">
        <v>1422</v>
      </c>
      <c r="F261" s="0" t="s">
        <v>52</v>
      </c>
      <c r="G261" s="0" t="s">
        <v>21</v>
      </c>
      <c r="H261" s="0" t="n">
        <f aca="false">IF(G261=" ALARM",1,0)</f>
        <v>0</v>
      </c>
      <c r="I261" s="0" t="s">
        <v>20</v>
      </c>
      <c r="J261" s="0" t="n">
        <f aca="false">IF(I261=" ALARM",1,0)</f>
        <v>1</v>
      </c>
      <c r="K261" s="0" t="s">
        <v>30</v>
      </c>
      <c r="L261" s="0" t="n">
        <f aca="false">IF(K261=" ALARM",1,0)</f>
        <v>0</v>
      </c>
      <c r="M261" s="0" t="s">
        <v>840</v>
      </c>
      <c r="N261" s="0" t="s">
        <v>841</v>
      </c>
    </row>
    <row r="262" customFormat="false" ht="12.8" hidden="false" customHeight="false" outlineLevel="0" collapsed="false">
      <c r="A262" s="0" t="n">
        <v>862329</v>
      </c>
      <c r="B262" s="0" t="s">
        <v>842</v>
      </c>
      <c r="C262" s="0" t="s">
        <v>17</v>
      </c>
      <c r="D262" s="0" t="s">
        <v>35</v>
      </c>
      <c r="E262" s="0" t="n">
        <v>1422</v>
      </c>
      <c r="F262" s="0" t="s">
        <v>52</v>
      </c>
      <c r="G262" s="0" t="s">
        <v>20</v>
      </c>
      <c r="H262" s="0" t="n">
        <f aca="false">IF(G262=" ALARM",1,0)</f>
        <v>1</v>
      </c>
      <c r="I262" s="0" t="s">
        <v>20</v>
      </c>
      <c r="J262" s="0" t="n">
        <f aca="false">IF(I262=" ALARM",1,0)</f>
        <v>1</v>
      </c>
      <c r="K262" s="0" t="s">
        <v>20</v>
      </c>
      <c r="L262" s="0" t="n">
        <f aca="false">IF(K262=" ALARM",1,0)</f>
        <v>1</v>
      </c>
      <c r="M262" s="0" t="s">
        <v>843</v>
      </c>
      <c r="N262" s="0" t="s">
        <v>844</v>
      </c>
    </row>
    <row r="263" customFormat="false" ht="12.8" hidden="false" customHeight="false" outlineLevel="0" collapsed="false">
      <c r="A263" s="0" t="n">
        <v>862332</v>
      </c>
      <c r="B263" s="0" t="s">
        <v>845</v>
      </c>
      <c r="C263" s="0" t="s">
        <v>17</v>
      </c>
      <c r="D263" s="0" t="s">
        <v>35</v>
      </c>
      <c r="E263" s="0" t="n">
        <v>1422</v>
      </c>
      <c r="F263" s="0" t="s">
        <v>52</v>
      </c>
      <c r="G263" s="0" t="s">
        <v>21</v>
      </c>
      <c r="H263" s="0" t="n">
        <f aca="false">IF(G263=" ALARM",1,0)</f>
        <v>0</v>
      </c>
      <c r="I263" s="0" t="s">
        <v>20</v>
      </c>
      <c r="J263" s="0" t="n">
        <f aca="false">IF(I263=" ALARM",1,0)</f>
        <v>1</v>
      </c>
      <c r="K263" s="0" t="s">
        <v>30</v>
      </c>
      <c r="L263" s="0" t="n">
        <f aca="false">IF(K263=" ALARM",1,0)</f>
        <v>0</v>
      </c>
      <c r="M263" s="0" t="s">
        <v>440</v>
      </c>
      <c r="N263" s="0" t="s">
        <v>846</v>
      </c>
    </row>
    <row r="264" customFormat="false" ht="12.8" hidden="false" customHeight="false" outlineLevel="0" collapsed="false">
      <c r="A264" s="0" t="n">
        <v>914149</v>
      </c>
      <c r="B264" s="0" t="s">
        <v>847</v>
      </c>
      <c r="C264" s="0" t="s">
        <v>17</v>
      </c>
      <c r="D264" s="0" t="s">
        <v>18</v>
      </c>
      <c r="E264" s="0" t="n">
        <v>39</v>
      </c>
      <c r="F264" s="0" t="s">
        <v>490</v>
      </c>
      <c r="G264" s="0" t="s">
        <v>20</v>
      </c>
      <c r="H264" s="0" t="n">
        <f aca="false">IF(G264=" ALARM",1,0)</f>
        <v>1</v>
      </c>
      <c r="I264" s="0" t="s">
        <v>20</v>
      </c>
      <c r="J264" s="0" t="n">
        <f aca="false">IF(I264=" ALARM",1,0)</f>
        <v>1</v>
      </c>
      <c r="K264" s="0" t="s">
        <v>20</v>
      </c>
      <c r="L264" s="0" t="n">
        <f aca="false">IF(K264=" ALARM",1,0)</f>
        <v>1</v>
      </c>
      <c r="M264" s="0" t="s">
        <v>848</v>
      </c>
      <c r="N264" s="0" t="s">
        <v>849</v>
      </c>
      <c r="O264" s="0" t="s">
        <v>476</v>
      </c>
    </row>
    <row r="265" customFormat="false" ht="12.8" hidden="false" customHeight="false" outlineLevel="0" collapsed="false">
      <c r="A265" s="0" t="n">
        <v>915999</v>
      </c>
      <c r="B265" s="0" t="s">
        <v>850</v>
      </c>
      <c r="C265" s="0" t="s">
        <v>17</v>
      </c>
      <c r="D265" s="0" t="s">
        <v>35</v>
      </c>
      <c r="E265" s="0" t="n">
        <v>39</v>
      </c>
      <c r="F265" s="0" t="s">
        <v>490</v>
      </c>
      <c r="G265" s="0" t="s">
        <v>20</v>
      </c>
      <c r="H265" s="0" t="n">
        <f aca="false">IF(G265=" ALARM",1,0)</f>
        <v>1</v>
      </c>
      <c r="I265" s="0" t="s">
        <v>20</v>
      </c>
      <c r="J265" s="0" t="n">
        <f aca="false">IF(I265=" ALARM",1,0)</f>
        <v>1</v>
      </c>
      <c r="K265" s="0" t="s">
        <v>20</v>
      </c>
      <c r="L265" s="0" t="n">
        <f aca="false">IF(K265=" ALARM",1,0)</f>
        <v>1</v>
      </c>
      <c r="M265" s="0" t="s">
        <v>851</v>
      </c>
      <c r="N265" s="0" t="s">
        <v>852</v>
      </c>
      <c r="O265" s="0" t="s">
        <v>670</v>
      </c>
    </row>
    <row r="266" customFormat="false" ht="12.8" hidden="false" customHeight="false" outlineLevel="0" collapsed="false">
      <c r="A266" s="0" t="n">
        <v>1012735</v>
      </c>
      <c r="B266" s="0" t="s">
        <v>853</v>
      </c>
      <c r="C266" s="0" t="s">
        <v>17</v>
      </c>
      <c r="D266" s="0" t="s">
        <v>35</v>
      </c>
      <c r="E266" s="0" t="n">
        <v>39</v>
      </c>
      <c r="F266" s="0" t="s">
        <v>490</v>
      </c>
      <c r="G266" s="0" t="s">
        <v>20</v>
      </c>
      <c r="H266" s="0" t="n">
        <f aca="false">IF(G266=" ALARM",1,0)</f>
        <v>1</v>
      </c>
      <c r="I266" s="0" t="s">
        <v>20</v>
      </c>
      <c r="J266" s="0" t="n">
        <f aca="false">IF(I266=" ALARM",1,0)</f>
        <v>1</v>
      </c>
      <c r="K266" s="0" t="s">
        <v>20</v>
      </c>
      <c r="L266" s="0" t="n">
        <f aca="false">IF(K266=" ALARM",1,0)</f>
        <v>1</v>
      </c>
      <c r="M266" s="0" t="s">
        <v>854</v>
      </c>
      <c r="N266" s="0" t="s">
        <v>855</v>
      </c>
      <c r="O266" s="0" t="s">
        <v>670</v>
      </c>
    </row>
    <row r="267" customFormat="false" ht="12.8" hidden="false" customHeight="false" outlineLevel="0" collapsed="false">
      <c r="A267" s="0" t="n">
        <v>1000456</v>
      </c>
      <c r="B267" s="0" t="s">
        <v>856</v>
      </c>
      <c r="C267" s="0" t="s">
        <v>17</v>
      </c>
      <c r="D267" s="0" t="s">
        <v>18</v>
      </c>
      <c r="E267" s="0" t="n">
        <v>1246</v>
      </c>
      <c r="F267" s="0" t="s">
        <v>52</v>
      </c>
      <c r="G267" s="0" t="s">
        <v>21</v>
      </c>
      <c r="H267" s="0" t="n">
        <f aca="false">IF(G267=" ALARM",1,0)</f>
        <v>0</v>
      </c>
      <c r="I267" s="0" t="s">
        <v>20</v>
      </c>
      <c r="J267" s="0" t="n">
        <f aca="false">IF(I267=" ALARM",1,0)</f>
        <v>1</v>
      </c>
      <c r="K267" s="0" t="s">
        <v>20</v>
      </c>
      <c r="L267" s="0" t="n">
        <f aca="false">IF(K267=" ALARM",1,0)</f>
        <v>1</v>
      </c>
      <c r="M267" s="0" t="s">
        <v>440</v>
      </c>
      <c r="N267" s="0" t="s">
        <v>857</v>
      </c>
    </row>
    <row r="268" customFormat="false" ht="12.8" hidden="false" customHeight="false" outlineLevel="0" collapsed="false">
      <c r="A268" s="0" t="n">
        <v>1004454</v>
      </c>
      <c r="B268" s="0" t="s">
        <v>858</v>
      </c>
      <c r="C268" s="0" t="s">
        <v>17</v>
      </c>
      <c r="D268" s="0" t="s">
        <v>97</v>
      </c>
      <c r="E268" s="0" t="n">
        <v>1409</v>
      </c>
      <c r="F268" s="0" t="s">
        <v>52</v>
      </c>
      <c r="G268" s="0" t="s">
        <v>20</v>
      </c>
      <c r="H268" s="0" t="n">
        <f aca="false">IF(G268=" ALARM",1,0)</f>
        <v>1</v>
      </c>
      <c r="I268" s="0" t="s">
        <v>20</v>
      </c>
      <c r="J268" s="0" t="n">
        <f aca="false">IF(I268=" ALARM",1,0)</f>
        <v>1</v>
      </c>
      <c r="K268" s="0" t="s">
        <v>20</v>
      </c>
      <c r="L268" s="0" t="n">
        <f aca="false">IF(K268=" ALARM",1,0)</f>
        <v>1</v>
      </c>
      <c r="M268" s="0" t="s">
        <v>859</v>
      </c>
      <c r="N268" s="0" t="s">
        <v>860</v>
      </c>
      <c r="O268" s="0" t="s">
        <v>861</v>
      </c>
    </row>
    <row r="269" customFormat="false" ht="12.8" hidden="false" customHeight="false" outlineLevel="0" collapsed="false">
      <c r="A269" s="0" t="n">
        <v>1025569</v>
      </c>
      <c r="B269" s="0" t="s">
        <v>862</v>
      </c>
      <c r="C269" s="0" t="s">
        <v>17</v>
      </c>
      <c r="D269" s="0" t="s">
        <v>97</v>
      </c>
      <c r="E269" s="0" t="n">
        <v>1409</v>
      </c>
      <c r="F269" s="0" t="s">
        <v>52</v>
      </c>
      <c r="G269" s="0" t="s">
        <v>20</v>
      </c>
      <c r="H269" s="0" t="n">
        <f aca="false">IF(G269=" ALARM",1,0)</f>
        <v>1</v>
      </c>
      <c r="I269" s="0" t="s">
        <v>20</v>
      </c>
      <c r="J269" s="0" t="n">
        <f aca="false">IF(I269=" ALARM",1,0)</f>
        <v>1</v>
      </c>
      <c r="K269" s="0" t="s">
        <v>30</v>
      </c>
      <c r="L269" s="0" t="n">
        <f aca="false">IF(K269=" ALARM",1,0)</f>
        <v>0</v>
      </c>
      <c r="M269" s="0" t="s">
        <v>863</v>
      </c>
      <c r="N269" s="0" t="s">
        <v>864</v>
      </c>
    </row>
    <row r="270" customFormat="false" ht="12.8" hidden="false" customHeight="false" outlineLevel="0" collapsed="false">
      <c r="A270" s="0" t="n">
        <v>1025574</v>
      </c>
      <c r="B270" s="0" t="s">
        <v>865</v>
      </c>
      <c r="C270" s="0" t="s">
        <v>17</v>
      </c>
      <c r="D270" s="0" t="s">
        <v>97</v>
      </c>
      <c r="E270" s="0" t="n">
        <v>1409</v>
      </c>
      <c r="F270" s="0" t="s">
        <v>52</v>
      </c>
      <c r="G270" s="0" t="s">
        <v>21</v>
      </c>
      <c r="H270" s="0" t="n">
        <f aca="false">IF(G270=" ALARM",1,0)</f>
        <v>0</v>
      </c>
      <c r="I270" s="0" t="s">
        <v>21</v>
      </c>
      <c r="J270" s="0" t="n">
        <f aca="false">IF(I270=" ALARM",1,0)</f>
        <v>0</v>
      </c>
      <c r="K270" s="0" t="s">
        <v>30</v>
      </c>
      <c r="L270" s="0" t="n">
        <f aca="false">IF(K270=" ALARM",1,0)</f>
        <v>0</v>
      </c>
      <c r="M270" s="0" t="s">
        <v>866</v>
      </c>
      <c r="N270" s="0" t="s">
        <v>866</v>
      </c>
    </row>
    <row r="271" customFormat="false" ht="12.8" hidden="false" customHeight="false" outlineLevel="0" collapsed="false">
      <c r="A271" s="0" t="n">
        <v>1094990</v>
      </c>
      <c r="B271" s="0" t="s">
        <v>867</v>
      </c>
      <c r="C271" s="0" t="s">
        <v>17</v>
      </c>
      <c r="D271" s="0" t="s">
        <v>18</v>
      </c>
      <c r="E271" s="0" t="n">
        <v>39</v>
      </c>
      <c r="F271" s="0" t="s">
        <v>490</v>
      </c>
      <c r="G271" s="0" t="s">
        <v>21</v>
      </c>
      <c r="H271" s="0" t="n">
        <f aca="false">IF(G271=" ALARM",1,0)</f>
        <v>0</v>
      </c>
      <c r="I271" s="0" t="s">
        <v>20</v>
      </c>
      <c r="J271" s="0" t="n">
        <f aca="false">IF(I271=" ALARM",1,0)</f>
        <v>1</v>
      </c>
      <c r="K271" s="0" t="s">
        <v>20</v>
      </c>
      <c r="L271" s="0" t="n">
        <f aca="false">IF(K271=" ALARM",1,0)</f>
        <v>1</v>
      </c>
      <c r="M271" s="0" t="s">
        <v>868</v>
      </c>
      <c r="N271" s="0" t="s">
        <v>869</v>
      </c>
      <c r="O271" s="0" t="s">
        <v>870</v>
      </c>
    </row>
    <row r="272" customFormat="false" ht="12.8" hidden="false" customHeight="false" outlineLevel="0" collapsed="false">
      <c r="A272" s="0" t="n">
        <v>1144134</v>
      </c>
      <c r="B272" s="0" t="s">
        <v>871</v>
      </c>
      <c r="C272" s="0" t="s">
        <v>17</v>
      </c>
      <c r="D272" s="0" t="s">
        <v>35</v>
      </c>
      <c r="E272" s="0" t="n">
        <v>39</v>
      </c>
      <c r="F272" s="0" t="s">
        <v>490</v>
      </c>
      <c r="G272" s="0" t="s">
        <v>20</v>
      </c>
      <c r="H272" s="0" t="n">
        <f aca="false">IF(G272=" ALARM",1,0)</f>
        <v>1</v>
      </c>
      <c r="I272" s="0" t="s">
        <v>20</v>
      </c>
      <c r="J272" s="0" t="n">
        <f aca="false">IF(I272=" ALARM",1,0)</f>
        <v>1</v>
      </c>
      <c r="K272" s="0" t="s">
        <v>20</v>
      </c>
      <c r="L272" s="0" t="n">
        <f aca="false">IF(K272=" ALARM",1,0)</f>
        <v>1</v>
      </c>
      <c r="M272" s="0" t="s">
        <v>872</v>
      </c>
      <c r="N272" s="0" t="s">
        <v>873</v>
      </c>
      <c r="O272" s="0" t="s">
        <v>874</v>
      </c>
    </row>
    <row r="273" customFormat="false" ht="12.8" hidden="false" customHeight="false" outlineLevel="0" collapsed="false">
      <c r="A273" s="0" t="n">
        <v>1144146</v>
      </c>
      <c r="B273" s="0" t="s">
        <v>875</v>
      </c>
      <c r="C273" s="0" t="s">
        <v>17</v>
      </c>
      <c r="D273" s="0" t="s">
        <v>35</v>
      </c>
      <c r="E273" s="0" t="n">
        <v>39</v>
      </c>
      <c r="F273" s="0" t="s">
        <v>490</v>
      </c>
      <c r="G273" s="0" t="s">
        <v>20</v>
      </c>
      <c r="H273" s="0" t="n">
        <f aca="false">IF(G273=" ALARM",1,0)</f>
        <v>1</v>
      </c>
      <c r="I273" s="0" t="s">
        <v>20</v>
      </c>
      <c r="J273" s="0" t="n">
        <f aca="false">IF(I273=" ALARM",1,0)</f>
        <v>1</v>
      </c>
      <c r="K273" s="0" t="s">
        <v>20</v>
      </c>
      <c r="L273" s="0" t="n">
        <f aca="false">IF(K273=" ALARM",1,0)</f>
        <v>1</v>
      </c>
      <c r="M273" s="0" t="s">
        <v>876</v>
      </c>
      <c r="N273" s="0" t="s">
        <v>877</v>
      </c>
      <c r="O273" s="0" t="s">
        <v>874</v>
      </c>
    </row>
    <row r="274" customFormat="false" ht="12.8" hidden="false" customHeight="false" outlineLevel="0" collapsed="false">
      <c r="A274" s="0" t="n">
        <v>1129955</v>
      </c>
      <c r="B274" s="0" t="s">
        <v>878</v>
      </c>
      <c r="C274" s="0" t="s">
        <v>17</v>
      </c>
      <c r="D274" s="0" t="s">
        <v>35</v>
      </c>
      <c r="E274" s="0" t="n">
        <v>1246</v>
      </c>
      <c r="F274" s="0" t="s">
        <v>52</v>
      </c>
      <c r="G274" s="0" t="s">
        <v>21</v>
      </c>
      <c r="H274" s="0" t="n">
        <f aca="false">IF(G274=" ALARM",1,0)</f>
        <v>0</v>
      </c>
      <c r="I274" s="0" t="s">
        <v>21</v>
      </c>
      <c r="J274" s="0" t="n">
        <f aca="false">IF(I274=" ALARM",1,0)</f>
        <v>0</v>
      </c>
      <c r="K274" s="0" t="s">
        <v>20</v>
      </c>
      <c r="L274" s="0" t="n">
        <f aca="false">IF(K274=" ALARM",1,0)</f>
        <v>1</v>
      </c>
      <c r="M274" s="0" t="s">
        <v>440</v>
      </c>
      <c r="N274" s="0" t="s">
        <v>440</v>
      </c>
    </row>
    <row r="275" customFormat="false" ht="12.8" hidden="false" customHeight="false" outlineLevel="0" collapsed="false">
      <c r="A275" s="0" t="n">
        <v>1167361</v>
      </c>
      <c r="B275" s="0" t="s">
        <v>879</v>
      </c>
      <c r="C275" s="0" t="s">
        <v>17</v>
      </c>
      <c r="D275" s="0" t="s">
        <v>35</v>
      </c>
      <c r="E275" s="0" t="n">
        <v>39</v>
      </c>
      <c r="F275" s="0" t="s">
        <v>490</v>
      </c>
      <c r="G275" s="0" t="s">
        <v>20</v>
      </c>
      <c r="H275" s="0" t="n">
        <f aca="false">IF(G275=" ALARM",1,0)</f>
        <v>1</v>
      </c>
      <c r="I275" s="0" t="s">
        <v>20</v>
      </c>
      <c r="J275" s="0" t="n">
        <f aca="false">IF(I275=" ALARM",1,0)</f>
        <v>1</v>
      </c>
      <c r="K275" s="0" t="s">
        <v>20</v>
      </c>
      <c r="L275" s="0" t="n">
        <f aca="false">IF(K275=" ALARM",1,0)</f>
        <v>1</v>
      </c>
      <c r="M275" s="0" t="s">
        <v>880</v>
      </c>
      <c r="N275" s="0" t="s">
        <v>881</v>
      </c>
      <c r="O275" s="0" t="s">
        <v>882</v>
      </c>
    </row>
    <row r="276" customFormat="false" ht="12.8" hidden="false" customHeight="false" outlineLevel="0" collapsed="false">
      <c r="A276" s="0" t="n">
        <v>1167367</v>
      </c>
      <c r="B276" s="0" t="s">
        <v>883</v>
      </c>
      <c r="C276" s="0" t="s">
        <v>17</v>
      </c>
      <c r="D276" s="0" t="s">
        <v>35</v>
      </c>
      <c r="E276" s="0" t="n">
        <v>39</v>
      </c>
      <c r="F276" s="0" t="s">
        <v>490</v>
      </c>
      <c r="G276" s="0" t="s">
        <v>20</v>
      </c>
      <c r="H276" s="0" t="n">
        <f aca="false">IF(G276=" ALARM",1,0)</f>
        <v>1</v>
      </c>
      <c r="I276" s="0" t="s">
        <v>20</v>
      </c>
      <c r="J276" s="0" t="n">
        <f aca="false">IF(I276=" ALARM",1,0)</f>
        <v>1</v>
      </c>
      <c r="K276" s="0" t="s">
        <v>20</v>
      </c>
      <c r="L276" s="0" t="n">
        <f aca="false">IF(K276=" ALARM",1,0)</f>
        <v>1</v>
      </c>
      <c r="M276" s="0" t="s">
        <v>884</v>
      </c>
      <c r="N276" s="0" t="s">
        <v>885</v>
      </c>
      <c r="O276" s="0" t="s">
        <v>882</v>
      </c>
    </row>
    <row r="277" customFormat="false" ht="12.8" hidden="false" customHeight="false" outlineLevel="0" collapsed="false">
      <c r="A277" s="0" t="n">
        <v>1146148</v>
      </c>
      <c r="B277" s="0" t="s">
        <v>886</v>
      </c>
      <c r="C277" s="0" t="s">
        <v>17</v>
      </c>
      <c r="D277" s="0" t="s">
        <v>97</v>
      </c>
      <c r="E277" s="0" t="n">
        <v>1176</v>
      </c>
      <c r="F277" s="0" t="s">
        <v>52</v>
      </c>
      <c r="G277" s="0" t="s">
        <v>21</v>
      </c>
      <c r="H277" s="0" t="n">
        <f aca="false">IF(G277=" ALARM",1,0)</f>
        <v>0</v>
      </c>
      <c r="I277" s="0" t="s">
        <v>21</v>
      </c>
      <c r="J277" s="0" t="n">
        <f aca="false">IF(I277=" ALARM",1,0)</f>
        <v>0</v>
      </c>
      <c r="K277" s="0" t="s">
        <v>21</v>
      </c>
      <c r="L277" s="0" t="n">
        <f aca="false">IF(K277=" ALARM",1,0)</f>
        <v>0</v>
      </c>
      <c r="M277" s="0" t="s">
        <v>887</v>
      </c>
      <c r="N277" s="0" t="s">
        <v>887</v>
      </c>
      <c r="O277" s="0" t="s">
        <v>888</v>
      </c>
    </row>
    <row r="278" customFormat="false" ht="12.8" hidden="false" customHeight="false" outlineLevel="0" collapsed="false">
      <c r="A278" s="0" t="n">
        <v>1151828</v>
      </c>
      <c r="B278" s="0" t="s">
        <v>889</v>
      </c>
      <c r="C278" s="0" t="s">
        <v>17</v>
      </c>
      <c r="D278" s="0" t="s">
        <v>35</v>
      </c>
      <c r="E278" s="0" t="n">
        <v>1422</v>
      </c>
      <c r="F278" s="0" t="s">
        <v>52</v>
      </c>
      <c r="G278" s="0" t="s">
        <v>30</v>
      </c>
      <c r="H278" s="0" t="n">
        <f aca="false">IF(G278=" ALARM",1,0)</f>
        <v>0</v>
      </c>
      <c r="I278" s="0" t="s">
        <v>20</v>
      </c>
      <c r="J278" s="0" t="n">
        <f aca="false">IF(I278=" ALARM",1,0)</f>
        <v>1</v>
      </c>
      <c r="K278" s="0" t="s">
        <v>20</v>
      </c>
      <c r="L278" s="0" t="n">
        <f aca="false">IF(K278=" ALARM",1,0)</f>
        <v>1</v>
      </c>
      <c r="M278" s="0" t="s">
        <v>890</v>
      </c>
      <c r="N278" s="0" t="s">
        <v>891</v>
      </c>
      <c r="O278" s="0" t="s">
        <v>892</v>
      </c>
    </row>
    <row r="279" customFormat="false" ht="12.8" hidden="false" customHeight="false" outlineLevel="0" collapsed="false">
      <c r="A279" s="0" t="n">
        <v>1174667</v>
      </c>
      <c r="B279" s="0" t="s">
        <v>893</v>
      </c>
      <c r="C279" s="0" t="s">
        <v>17</v>
      </c>
      <c r="D279" s="0" t="s">
        <v>35</v>
      </c>
      <c r="E279" s="0" t="n">
        <v>39</v>
      </c>
      <c r="F279" s="0" t="s">
        <v>490</v>
      </c>
      <c r="G279" s="0" t="s">
        <v>20</v>
      </c>
      <c r="H279" s="0" t="n">
        <f aca="false">IF(G279=" ALARM",1,0)</f>
        <v>1</v>
      </c>
      <c r="I279" s="0" t="s">
        <v>20</v>
      </c>
      <c r="J279" s="0" t="n">
        <f aca="false">IF(I279=" ALARM",1,0)</f>
        <v>1</v>
      </c>
      <c r="K279" s="0" t="s">
        <v>20</v>
      </c>
      <c r="L279" s="0" t="n">
        <f aca="false">IF(K279=" ALARM",1,0)</f>
        <v>1</v>
      </c>
      <c r="M279" s="0" t="s">
        <v>894</v>
      </c>
      <c r="N279" s="0" t="s">
        <v>895</v>
      </c>
      <c r="O279" s="0" t="s">
        <v>896</v>
      </c>
    </row>
    <row r="280" customFormat="false" ht="12.8" hidden="false" customHeight="false" outlineLevel="0" collapsed="false">
      <c r="A280" s="0" t="n">
        <v>1174682</v>
      </c>
      <c r="B280" s="0" t="s">
        <v>897</v>
      </c>
      <c r="C280" s="0" t="s">
        <v>17</v>
      </c>
      <c r="D280" s="0" t="s">
        <v>35</v>
      </c>
      <c r="E280" s="0" t="n">
        <v>39</v>
      </c>
      <c r="F280" s="0" t="s">
        <v>490</v>
      </c>
      <c r="G280" s="0" t="s">
        <v>20</v>
      </c>
      <c r="H280" s="0" t="n">
        <f aca="false">IF(G280=" ALARM",1,0)</f>
        <v>1</v>
      </c>
      <c r="I280" s="0" t="s">
        <v>20</v>
      </c>
      <c r="J280" s="0" t="n">
        <f aca="false">IF(I280=" ALARM",1,0)</f>
        <v>1</v>
      </c>
      <c r="K280" s="0" t="s">
        <v>20</v>
      </c>
      <c r="L280" s="0" t="n">
        <f aca="false">IF(K280=" ALARM",1,0)</f>
        <v>1</v>
      </c>
      <c r="M280" s="0" t="s">
        <v>898</v>
      </c>
      <c r="N280" s="0" t="s">
        <v>899</v>
      </c>
      <c r="O280" s="0" t="s">
        <v>896</v>
      </c>
    </row>
    <row r="281" customFormat="false" ht="12.8" hidden="false" customHeight="false" outlineLevel="0" collapsed="false">
      <c r="A281" s="0" t="n">
        <v>1175117</v>
      </c>
      <c r="B281" s="0" t="s">
        <v>900</v>
      </c>
      <c r="C281" s="0" t="s">
        <v>17</v>
      </c>
      <c r="D281" s="0" t="s">
        <v>35</v>
      </c>
      <c r="E281" s="0" t="n">
        <v>39</v>
      </c>
      <c r="F281" s="0" t="s">
        <v>490</v>
      </c>
      <c r="G281" s="0" t="s">
        <v>20</v>
      </c>
      <c r="H281" s="0" t="n">
        <f aca="false">IF(G281=" ALARM",1,0)</f>
        <v>1</v>
      </c>
      <c r="I281" s="0" t="s">
        <v>20</v>
      </c>
      <c r="J281" s="0" t="n">
        <f aca="false">IF(I281=" ALARM",1,0)</f>
        <v>1</v>
      </c>
      <c r="K281" s="0" t="s">
        <v>20</v>
      </c>
      <c r="L281" s="0" t="n">
        <f aca="false">IF(K281=" ALARM",1,0)</f>
        <v>1</v>
      </c>
      <c r="M281" s="0" t="s">
        <v>901</v>
      </c>
      <c r="N281" s="0" t="s">
        <v>902</v>
      </c>
      <c r="O281" s="0" t="s">
        <v>903</v>
      </c>
    </row>
    <row r="282" customFormat="false" ht="12.8" hidden="false" customHeight="false" outlineLevel="0" collapsed="false">
      <c r="A282" s="0" t="n">
        <v>1175127</v>
      </c>
      <c r="B282" s="0" t="s">
        <v>904</v>
      </c>
      <c r="C282" s="0" t="s">
        <v>17</v>
      </c>
      <c r="D282" s="0" t="s">
        <v>35</v>
      </c>
      <c r="E282" s="0" t="n">
        <v>39</v>
      </c>
      <c r="F282" s="0" t="s">
        <v>490</v>
      </c>
      <c r="G282" s="0" t="s">
        <v>30</v>
      </c>
      <c r="H282" s="0" t="n">
        <f aca="false">IF(G282=" ALARM",1,0)</f>
        <v>0</v>
      </c>
      <c r="I282" s="0" t="s">
        <v>20</v>
      </c>
      <c r="J282" s="0" t="n">
        <f aca="false">IF(I282=" ALARM",1,0)</f>
        <v>1</v>
      </c>
      <c r="K282" s="0" t="s">
        <v>20</v>
      </c>
      <c r="L282" s="0" t="n">
        <f aca="false">IF(K282=" ALARM",1,0)</f>
        <v>1</v>
      </c>
      <c r="M282" s="0" t="s">
        <v>905</v>
      </c>
      <c r="N282" s="0" t="s">
        <v>906</v>
      </c>
      <c r="O282" s="0" t="s">
        <v>903</v>
      </c>
    </row>
    <row r="283" customFormat="false" ht="12.8" hidden="false" customHeight="false" outlineLevel="0" collapsed="false">
      <c r="A283" s="0" t="n">
        <v>1239016</v>
      </c>
      <c r="B283" s="0" t="s">
        <v>907</v>
      </c>
      <c r="C283" s="0" t="s">
        <v>17</v>
      </c>
      <c r="D283" s="0" t="s">
        <v>18</v>
      </c>
      <c r="E283" s="0" t="n">
        <v>39</v>
      </c>
      <c r="F283" s="0" t="s">
        <v>490</v>
      </c>
      <c r="G283" s="0" t="s">
        <v>20</v>
      </c>
      <c r="H283" s="0" t="n">
        <f aca="false">IF(G283=" ALARM",1,0)</f>
        <v>1</v>
      </c>
      <c r="I283" s="0" t="s">
        <v>20</v>
      </c>
      <c r="J283" s="0" t="n">
        <f aca="false">IF(I283=" ALARM",1,0)</f>
        <v>1</v>
      </c>
      <c r="K283" s="0" t="s">
        <v>20</v>
      </c>
      <c r="L283" s="0" t="n">
        <f aca="false">IF(K283=" ALARM",1,0)</f>
        <v>1</v>
      </c>
      <c r="M283" s="0" t="s">
        <v>908</v>
      </c>
      <c r="N283" s="0" t="s">
        <v>909</v>
      </c>
      <c r="O283" s="0" t="s">
        <v>910</v>
      </c>
    </row>
    <row r="284" customFormat="false" ht="12.8" hidden="false" customHeight="false" outlineLevel="0" collapsed="false">
      <c r="A284" s="0" t="n">
        <v>1239536</v>
      </c>
      <c r="B284" s="0" t="s">
        <v>911</v>
      </c>
      <c r="C284" s="0" t="s">
        <v>17</v>
      </c>
      <c r="D284" s="0" t="s">
        <v>35</v>
      </c>
      <c r="E284" s="0" t="n">
        <v>39</v>
      </c>
      <c r="F284" s="0" t="s">
        <v>490</v>
      </c>
      <c r="G284" s="0" t="s">
        <v>20</v>
      </c>
      <c r="H284" s="0" t="n">
        <f aca="false">IF(G284=" ALARM",1,0)</f>
        <v>1</v>
      </c>
      <c r="I284" s="0" t="s">
        <v>20</v>
      </c>
      <c r="J284" s="0" t="n">
        <f aca="false">IF(I284=" ALARM",1,0)</f>
        <v>1</v>
      </c>
      <c r="K284" s="0" t="s">
        <v>20</v>
      </c>
      <c r="L284" s="0" t="n">
        <f aca="false">IF(K284=" ALARM",1,0)</f>
        <v>1</v>
      </c>
      <c r="M284" s="0" t="s">
        <v>912</v>
      </c>
      <c r="N284" s="0" t="s">
        <v>913</v>
      </c>
      <c r="O284" s="0" t="s">
        <v>722</v>
      </c>
    </row>
    <row r="285" customFormat="false" ht="12.8" hidden="false" customHeight="false" outlineLevel="0" collapsed="false">
      <c r="A285" s="0" t="n">
        <v>1239545</v>
      </c>
      <c r="B285" s="0" t="s">
        <v>914</v>
      </c>
      <c r="C285" s="0" t="s">
        <v>17</v>
      </c>
      <c r="D285" s="0" t="s">
        <v>35</v>
      </c>
      <c r="E285" s="0" t="n">
        <v>39</v>
      </c>
      <c r="F285" s="0" t="s">
        <v>490</v>
      </c>
      <c r="G285" s="0" t="s">
        <v>20</v>
      </c>
      <c r="H285" s="0" t="n">
        <f aca="false">IF(G285=" ALARM",1,0)</f>
        <v>1</v>
      </c>
      <c r="I285" s="0" t="s">
        <v>20</v>
      </c>
      <c r="J285" s="0" t="n">
        <f aca="false">IF(I285=" ALARM",1,0)</f>
        <v>1</v>
      </c>
      <c r="K285" s="0" t="s">
        <v>20</v>
      </c>
      <c r="L285" s="0" t="n">
        <f aca="false">IF(K285=" ALARM",1,0)</f>
        <v>1</v>
      </c>
      <c r="M285" s="0" t="s">
        <v>915</v>
      </c>
      <c r="N285" s="0" t="s">
        <v>916</v>
      </c>
      <c r="O285" s="0" t="s">
        <v>722</v>
      </c>
    </row>
    <row r="286" customFormat="false" ht="12.8" hidden="false" customHeight="false" outlineLevel="0" collapsed="false">
      <c r="A286" s="0" t="n">
        <v>1238991</v>
      </c>
      <c r="B286" s="0" t="s">
        <v>917</v>
      </c>
      <c r="C286" s="0" t="s">
        <v>17</v>
      </c>
      <c r="D286" s="0" t="s">
        <v>36</v>
      </c>
      <c r="E286" s="0" t="n">
        <v>1246</v>
      </c>
      <c r="F286" s="0" t="s">
        <v>52</v>
      </c>
      <c r="G286" s="0" t="s">
        <v>21</v>
      </c>
      <c r="H286" s="0" t="n">
        <f aca="false">IF(G286=" ALARM",1,0)</f>
        <v>0</v>
      </c>
      <c r="I286" s="0" t="s">
        <v>21</v>
      </c>
      <c r="J286" s="0" t="n">
        <f aca="false">IF(I286=" ALARM",1,0)</f>
        <v>0</v>
      </c>
      <c r="K286" s="0" t="s">
        <v>20</v>
      </c>
      <c r="L286" s="0" t="n">
        <f aca="false">IF(K286=" ALARM",1,0)</f>
        <v>1</v>
      </c>
      <c r="M286" s="0" t="s">
        <v>440</v>
      </c>
      <c r="N286" s="0" t="s">
        <v>440</v>
      </c>
    </row>
    <row r="287" customFormat="false" ht="12.8" hidden="false" customHeight="false" outlineLevel="0" collapsed="false">
      <c r="A287" s="0" t="n">
        <v>1256237</v>
      </c>
      <c r="B287" s="0" t="s">
        <v>918</v>
      </c>
      <c r="C287" s="0" t="s">
        <v>17</v>
      </c>
      <c r="D287" s="0" t="s">
        <v>35</v>
      </c>
      <c r="E287" s="0" t="n">
        <v>39</v>
      </c>
      <c r="F287" s="0" t="s">
        <v>490</v>
      </c>
      <c r="G287" s="0" t="s">
        <v>20</v>
      </c>
      <c r="H287" s="0" t="n">
        <f aca="false">IF(G287=" ALARM",1,0)</f>
        <v>1</v>
      </c>
      <c r="I287" s="0" t="s">
        <v>20</v>
      </c>
      <c r="J287" s="0" t="n">
        <f aca="false">IF(I287=" ALARM",1,0)</f>
        <v>1</v>
      </c>
      <c r="K287" s="0" t="s">
        <v>20</v>
      </c>
      <c r="L287" s="0" t="n">
        <f aca="false">IF(K287=" ALARM",1,0)</f>
        <v>1</v>
      </c>
      <c r="M287" s="0" t="s">
        <v>919</v>
      </c>
      <c r="N287" s="0" t="s">
        <v>920</v>
      </c>
      <c r="O287" s="0" t="s">
        <v>874</v>
      </c>
    </row>
    <row r="288" customFormat="false" ht="12.8" hidden="false" customHeight="false" outlineLevel="0" collapsed="false">
      <c r="A288" s="0" t="n">
        <v>1240082</v>
      </c>
      <c r="B288" s="0" t="s">
        <v>921</v>
      </c>
      <c r="C288" s="0" t="s">
        <v>17</v>
      </c>
      <c r="D288" s="0" t="s">
        <v>35</v>
      </c>
      <c r="E288" s="0" t="n">
        <v>1246</v>
      </c>
      <c r="F288" s="0" t="s">
        <v>52</v>
      </c>
      <c r="G288" s="0" t="s">
        <v>21</v>
      </c>
      <c r="H288" s="0" t="n">
        <f aca="false">IF(G288=" ALARM",1,0)</f>
        <v>0</v>
      </c>
      <c r="I288" s="0" t="s">
        <v>20</v>
      </c>
      <c r="J288" s="0" t="n">
        <f aca="false">IF(I288=" ALARM",1,0)</f>
        <v>1</v>
      </c>
      <c r="K288" s="0" t="s">
        <v>20</v>
      </c>
      <c r="L288" s="0" t="n">
        <f aca="false">IF(K288=" ALARM",1,0)</f>
        <v>1</v>
      </c>
      <c r="M288" s="0" t="s">
        <v>440</v>
      </c>
      <c r="N288" s="0" t="s">
        <v>922</v>
      </c>
    </row>
    <row r="289" customFormat="false" ht="12.8" hidden="false" customHeight="false" outlineLevel="0" collapsed="false">
      <c r="A289" s="0" t="n">
        <v>1240085</v>
      </c>
      <c r="B289" s="0" t="s">
        <v>923</v>
      </c>
      <c r="C289" s="0" t="s">
        <v>17</v>
      </c>
      <c r="D289" s="0" t="s">
        <v>35</v>
      </c>
      <c r="E289" s="0" t="n">
        <v>1246</v>
      </c>
      <c r="F289" s="0" t="s">
        <v>52</v>
      </c>
      <c r="G289" s="0" t="s">
        <v>21</v>
      </c>
      <c r="H289" s="0" t="n">
        <f aca="false">IF(G289=" ALARM",1,0)</f>
        <v>0</v>
      </c>
      <c r="I289" s="0" t="s">
        <v>20</v>
      </c>
      <c r="J289" s="0" t="n">
        <f aca="false">IF(I289=" ALARM",1,0)</f>
        <v>1</v>
      </c>
      <c r="K289" s="0" t="s">
        <v>20</v>
      </c>
      <c r="L289" s="0" t="n">
        <f aca="false">IF(K289=" ALARM",1,0)</f>
        <v>1</v>
      </c>
      <c r="M289" s="0" t="s">
        <v>440</v>
      </c>
      <c r="N289" s="0" t="s">
        <v>924</v>
      </c>
    </row>
    <row r="290" customFormat="false" ht="12.8" hidden="false" customHeight="false" outlineLevel="0" collapsed="false">
      <c r="A290" s="0" t="n">
        <v>1282212</v>
      </c>
      <c r="B290" s="0" t="s">
        <v>925</v>
      </c>
      <c r="C290" s="0" t="s">
        <v>17</v>
      </c>
      <c r="D290" s="0" t="s">
        <v>35</v>
      </c>
      <c r="E290" s="0" t="n">
        <v>39</v>
      </c>
      <c r="F290" s="0" t="s">
        <v>490</v>
      </c>
      <c r="G290" s="0" t="s">
        <v>20</v>
      </c>
      <c r="H290" s="0" t="n">
        <f aca="false">IF(G290=" ALARM",1,0)</f>
        <v>1</v>
      </c>
      <c r="I290" s="0" t="s">
        <v>20</v>
      </c>
      <c r="J290" s="0" t="n">
        <f aca="false">IF(I290=" ALARM",1,0)</f>
        <v>1</v>
      </c>
      <c r="K290" s="0" t="s">
        <v>20</v>
      </c>
      <c r="L290" s="0" t="n">
        <f aca="false">IF(K290=" ALARM",1,0)</f>
        <v>1</v>
      </c>
      <c r="M290" s="0" t="s">
        <v>926</v>
      </c>
      <c r="N290" s="0" t="s">
        <v>927</v>
      </c>
      <c r="O290" s="0" t="s">
        <v>928</v>
      </c>
    </row>
    <row r="291" customFormat="false" ht="12.8" hidden="false" customHeight="false" outlineLevel="0" collapsed="false">
      <c r="A291" s="0" t="n">
        <v>1298553</v>
      </c>
      <c r="B291" s="0" t="s">
        <v>929</v>
      </c>
      <c r="C291" s="0" t="s">
        <v>17</v>
      </c>
      <c r="D291" s="0" t="s">
        <v>18</v>
      </c>
      <c r="E291" s="0" t="n">
        <v>39</v>
      </c>
      <c r="F291" s="0" t="s">
        <v>490</v>
      </c>
      <c r="G291" s="0" t="s">
        <v>20</v>
      </c>
      <c r="H291" s="0" t="n">
        <f aca="false">IF(G291=" ALARM",1,0)</f>
        <v>1</v>
      </c>
      <c r="I291" s="0" t="s">
        <v>20</v>
      </c>
      <c r="J291" s="0" t="n">
        <f aca="false">IF(I291=" ALARM",1,0)</f>
        <v>1</v>
      </c>
      <c r="K291" s="0" t="s">
        <v>20</v>
      </c>
      <c r="L291" s="0" t="n">
        <f aca="false">IF(K291=" ALARM",1,0)</f>
        <v>1</v>
      </c>
      <c r="M291" s="0" t="s">
        <v>930</v>
      </c>
      <c r="N291" s="0" t="s">
        <v>931</v>
      </c>
      <c r="O291" s="0" t="s">
        <v>932</v>
      </c>
    </row>
    <row r="292" customFormat="false" ht="12.8" hidden="false" customHeight="false" outlineLevel="0" collapsed="false">
      <c r="A292" s="0" t="n">
        <v>1298555</v>
      </c>
      <c r="B292" s="0" t="s">
        <v>933</v>
      </c>
      <c r="C292" s="0" t="s">
        <v>17</v>
      </c>
      <c r="D292" s="0" t="s">
        <v>18</v>
      </c>
      <c r="E292" s="0" t="n">
        <v>39</v>
      </c>
      <c r="F292" s="0" t="s">
        <v>490</v>
      </c>
      <c r="G292" s="0" t="s">
        <v>20</v>
      </c>
      <c r="H292" s="0" t="n">
        <f aca="false">IF(G292=" ALARM",1,0)</f>
        <v>1</v>
      </c>
      <c r="I292" s="0" t="s">
        <v>20</v>
      </c>
      <c r="J292" s="0" t="n">
        <f aca="false">IF(I292=" ALARM",1,0)</f>
        <v>1</v>
      </c>
      <c r="K292" s="0" t="s">
        <v>20</v>
      </c>
      <c r="L292" s="0" t="n">
        <f aca="false">IF(K292=" ALARM",1,0)</f>
        <v>1</v>
      </c>
      <c r="M292" s="0" t="s">
        <v>934</v>
      </c>
      <c r="N292" s="0" t="s">
        <v>935</v>
      </c>
      <c r="O292" s="0" t="s">
        <v>932</v>
      </c>
    </row>
    <row r="293" customFormat="false" ht="12.8" hidden="false" customHeight="false" outlineLevel="0" collapsed="false">
      <c r="A293" s="0" t="n">
        <v>1289905</v>
      </c>
      <c r="B293" s="0" t="s">
        <v>936</v>
      </c>
      <c r="C293" s="0" t="s">
        <v>17</v>
      </c>
      <c r="D293" s="0" t="s">
        <v>35</v>
      </c>
      <c r="E293" s="0" t="n">
        <v>733</v>
      </c>
      <c r="F293" s="0" t="s">
        <v>52</v>
      </c>
      <c r="G293" s="0" t="s">
        <v>20</v>
      </c>
      <c r="H293" s="0" t="n">
        <f aca="false">IF(G293=" ALARM",1,0)</f>
        <v>1</v>
      </c>
      <c r="I293" s="0" t="s">
        <v>20</v>
      </c>
      <c r="J293" s="0" t="n">
        <f aca="false">IF(I293=" ALARM",1,0)</f>
        <v>1</v>
      </c>
      <c r="K293" s="0" t="s">
        <v>20</v>
      </c>
      <c r="L293" s="0" t="n">
        <f aca="false">IF(K293=" ALARM",1,0)</f>
        <v>1</v>
      </c>
      <c r="M293" s="0" t="s">
        <v>937</v>
      </c>
      <c r="N293" s="0" t="s">
        <v>938</v>
      </c>
    </row>
    <row r="294" customFormat="false" ht="12.8" hidden="false" customHeight="false" outlineLevel="0" collapsed="false">
      <c r="A294" s="0" t="n">
        <v>1290435</v>
      </c>
      <c r="B294" s="0" t="s">
        <v>939</v>
      </c>
      <c r="C294" s="0" t="s">
        <v>17</v>
      </c>
      <c r="D294" s="0" t="s">
        <v>35</v>
      </c>
      <c r="E294" s="0" t="n">
        <v>733</v>
      </c>
      <c r="F294" s="0" t="s">
        <v>52</v>
      </c>
      <c r="G294" s="0" t="s">
        <v>20</v>
      </c>
      <c r="H294" s="0" t="n">
        <f aca="false">IF(G294=" ALARM",1,0)</f>
        <v>1</v>
      </c>
      <c r="I294" s="0" t="s">
        <v>20</v>
      </c>
      <c r="J294" s="0" t="n">
        <f aca="false">IF(I294=" ALARM",1,0)</f>
        <v>1</v>
      </c>
      <c r="K294" s="0" t="s">
        <v>20</v>
      </c>
      <c r="L294" s="0" t="n">
        <f aca="false">IF(K294=" ALARM",1,0)</f>
        <v>1</v>
      </c>
      <c r="M294" s="0" t="s">
        <v>940</v>
      </c>
      <c r="N294" s="0" t="s">
        <v>941</v>
      </c>
    </row>
    <row r="295" customFormat="false" ht="12.8" hidden="false" customHeight="false" outlineLevel="0" collapsed="false">
      <c r="A295" s="0" t="n">
        <v>1290473</v>
      </c>
      <c r="B295" s="0" t="s">
        <v>942</v>
      </c>
      <c r="C295" s="0" t="s">
        <v>17</v>
      </c>
      <c r="D295" s="0" t="s">
        <v>35</v>
      </c>
      <c r="E295" s="0" t="n">
        <v>733</v>
      </c>
      <c r="F295" s="0" t="s">
        <v>52</v>
      </c>
      <c r="G295" s="0" t="s">
        <v>20</v>
      </c>
      <c r="H295" s="0" t="n">
        <f aca="false">IF(G295=" ALARM",1,0)</f>
        <v>1</v>
      </c>
      <c r="I295" s="0" t="s">
        <v>20</v>
      </c>
      <c r="J295" s="0" t="n">
        <f aca="false">IF(I295=" ALARM",1,0)</f>
        <v>1</v>
      </c>
      <c r="K295" s="0" t="s">
        <v>20</v>
      </c>
      <c r="L295" s="0" t="n">
        <f aca="false">IF(K295=" ALARM",1,0)</f>
        <v>1</v>
      </c>
      <c r="M295" s="0" t="s">
        <v>943</v>
      </c>
      <c r="N295" s="0" t="s">
        <v>944</v>
      </c>
    </row>
    <row r="296" customFormat="false" ht="12.8" hidden="false" customHeight="false" outlineLevel="0" collapsed="false">
      <c r="A296" s="0" t="n">
        <v>1290483</v>
      </c>
      <c r="B296" s="0" t="s">
        <v>945</v>
      </c>
      <c r="C296" s="0" t="s">
        <v>17</v>
      </c>
      <c r="D296" s="0" t="s">
        <v>35</v>
      </c>
      <c r="E296" s="0" t="n">
        <v>733</v>
      </c>
      <c r="F296" s="0" t="s">
        <v>52</v>
      </c>
      <c r="G296" s="0" t="s">
        <v>20</v>
      </c>
      <c r="H296" s="0" t="n">
        <f aca="false">IF(G296=" ALARM",1,0)</f>
        <v>1</v>
      </c>
      <c r="I296" s="0" t="s">
        <v>20</v>
      </c>
      <c r="J296" s="0" t="n">
        <f aca="false">IF(I296=" ALARM",1,0)</f>
        <v>1</v>
      </c>
      <c r="K296" s="0" t="s">
        <v>20</v>
      </c>
      <c r="L296" s="0" t="n">
        <f aca="false">IF(K296=" ALARM",1,0)</f>
        <v>1</v>
      </c>
      <c r="M296" s="0" t="s">
        <v>946</v>
      </c>
      <c r="N296" s="0" t="s">
        <v>947</v>
      </c>
    </row>
    <row r="297" customFormat="false" ht="12.8" hidden="false" customHeight="false" outlineLevel="0" collapsed="false">
      <c r="A297" s="0" t="n">
        <v>1311913</v>
      </c>
      <c r="B297" s="0" t="s">
        <v>948</v>
      </c>
      <c r="C297" s="0" t="s">
        <v>17</v>
      </c>
      <c r="D297" s="0" t="s">
        <v>35</v>
      </c>
      <c r="E297" s="0" t="n">
        <v>39</v>
      </c>
      <c r="F297" s="0" t="s">
        <v>490</v>
      </c>
      <c r="G297" s="0" t="s">
        <v>20</v>
      </c>
      <c r="H297" s="0" t="n">
        <f aca="false">IF(G297=" ALARM",1,0)</f>
        <v>1</v>
      </c>
      <c r="I297" s="0" t="s">
        <v>20</v>
      </c>
      <c r="J297" s="0" t="n">
        <f aca="false">IF(I297=" ALARM",1,0)</f>
        <v>1</v>
      </c>
      <c r="K297" s="0" t="s">
        <v>20</v>
      </c>
      <c r="L297" s="0" t="n">
        <f aca="false">IF(K297=" ALARM",1,0)</f>
        <v>1</v>
      </c>
      <c r="M297" s="0" t="s">
        <v>949</v>
      </c>
      <c r="N297" s="0" t="s">
        <v>950</v>
      </c>
      <c r="O297" s="0" t="s">
        <v>722</v>
      </c>
    </row>
    <row r="298" customFormat="false" ht="12.8" hidden="false" customHeight="false" outlineLevel="0" collapsed="false">
      <c r="A298" s="0" t="n">
        <v>1311929</v>
      </c>
      <c r="B298" s="0" t="s">
        <v>951</v>
      </c>
      <c r="C298" s="0" t="s">
        <v>17</v>
      </c>
      <c r="D298" s="0" t="s">
        <v>35</v>
      </c>
      <c r="E298" s="0" t="n">
        <v>39</v>
      </c>
      <c r="F298" s="0" t="s">
        <v>490</v>
      </c>
      <c r="G298" s="0" t="s">
        <v>20</v>
      </c>
      <c r="H298" s="0" t="n">
        <f aca="false">IF(G298=" ALARM",1,0)</f>
        <v>1</v>
      </c>
      <c r="I298" s="0" t="s">
        <v>20</v>
      </c>
      <c r="J298" s="0" t="n">
        <f aca="false">IF(I298=" ALARM",1,0)</f>
        <v>1</v>
      </c>
      <c r="K298" s="0" t="s">
        <v>20</v>
      </c>
      <c r="L298" s="0" t="n">
        <f aca="false">IF(K298=" ALARM",1,0)</f>
        <v>1</v>
      </c>
      <c r="M298" s="0" t="s">
        <v>952</v>
      </c>
      <c r="N298" s="0" t="s">
        <v>953</v>
      </c>
      <c r="O298" s="0" t="s">
        <v>722</v>
      </c>
    </row>
    <row r="299" customFormat="false" ht="12.8" hidden="false" customHeight="false" outlineLevel="0" collapsed="false">
      <c r="A299" s="0" t="n">
        <v>1311942</v>
      </c>
      <c r="B299" s="0" t="s">
        <v>954</v>
      </c>
      <c r="C299" s="0" t="s">
        <v>17</v>
      </c>
      <c r="D299" s="0" t="s">
        <v>18</v>
      </c>
      <c r="E299" s="0" t="n">
        <v>39</v>
      </c>
      <c r="F299" s="0" t="s">
        <v>490</v>
      </c>
      <c r="G299" s="0" t="s">
        <v>20</v>
      </c>
      <c r="H299" s="0" t="n">
        <f aca="false">IF(G299=" ALARM",1,0)</f>
        <v>1</v>
      </c>
      <c r="I299" s="0" t="s">
        <v>20</v>
      </c>
      <c r="J299" s="0" t="n">
        <f aca="false">IF(I299=" ALARM",1,0)</f>
        <v>1</v>
      </c>
      <c r="K299" s="0" t="s">
        <v>20</v>
      </c>
      <c r="L299" s="0" t="n">
        <f aca="false">IF(K299=" ALARM",1,0)</f>
        <v>1</v>
      </c>
      <c r="M299" s="0" t="s">
        <v>955</v>
      </c>
      <c r="N299" s="0" t="s">
        <v>956</v>
      </c>
      <c r="O299" s="0" t="s">
        <v>957</v>
      </c>
    </row>
    <row r="300" customFormat="false" ht="12.8" hidden="false" customHeight="false" outlineLevel="0" collapsed="false">
      <c r="A300" s="0" t="n">
        <v>1318289</v>
      </c>
      <c r="B300" s="0" t="s">
        <v>958</v>
      </c>
      <c r="C300" s="0" t="s">
        <v>17</v>
      </c>
      <c r="D300" s="0" t="s">
        <v>18</v>
      </c>
      <c r="E300" s="0" t="n">
        <v>39</v>
      </c>
      <c r="F300" s="0" t="s">
        <v>490</v>
      </c>
      <c r="G300" s="0" t="s">
        <v>20</v>
      </c>
      <c r="H300" s="0" t="n">
        <f aca="false">IF(G300=" ALARM",1,0)</f>
        <v>1</v>
      </c>
      <c r="I300" s="0" t="s">
        <v>20</v>
      </c>
      <c r="J300" s="0" t="n">
        <f aca="false">IF(I300=" ALARM",1,0)</f>
        <v>1</v>
      </c>
      <c r="K300" s="0" t="s">
        <v>20</v>
      </c>
      <c r="L300" s="0" t="n">
        <f aca="false">IF(K300=" ALARM",1,0)</f>
        <v>1</v>
      </c>
      <c r="M300" s="0" t="s">
        <v>959</v>
      </c>
      <c r="N300" s="0" t="s">
        <v>960</v>
      </c>
      <c r="O300" s="0" t="s">
        <v>961</v>
      </c>
    </row>
    <row r="301" customFormat="false" ht="12.8" hidden="false" customHeight="false" outlineLevel="0" collapsed="false">
      <c r="A301" s="0" t="n">
        <v>1318294</v>
      </c>
      <c r="B301" s="0" t="s">
        <v>962</v>
      </c>
      <c r="C301" s="0" t="s">
        <v>17</v>
      </c>
      <c r="D301" s="0" t="s">
        <v>18</v>
      </c>
      <c r="E301" s="0" t="n">
        <v>39</v>
      </c>
      <c r="F301" s="0" t="s">
        <v>490</v>
      </c>
      <c r="G301" s="0" t="s">
        <v>20</v>
      </c>
      <c r="H301" s="0" t="n">
        <f aca="false">IF(G301=" ALARM",1,0)</f>
        <v>1</v>
      </c>
      <c r="I301" s="0" t="s">
        <v>20</v>
      </c>
      <c r="J301" s="0" t="n">
        <f aca="false">IF(I301=" ALARM",1,0)</f>
        <v>1</v>
      </c>
      <c r="K301" s="0" t="s">
        <v>20</v>
      </c>
      <c r="L301" s="0" t="n">
        <f aca="false">IF(K301=" ALARM",1,0)</f>
        <v>1</v>
      </c>
      <c r="M301" s="0" t="s">
        <v>963</v>
      </c>
      <c r="N301" s="0" t="s">
        <v>964</v>
      </c>
      <c r="O301" s="0" t="s">
        <v>961</v>
      </c>
    </row>
    <row r="302" customFormat="false" ht="12.8" hidden="false" customHeight="false" outlineLevel="0" collapsed="false">
      <c r="A302" s="0" t="n">
        <v>1328540</v>
      </c>
      <c r="B302" s="0" t="s">
        <v>965</v>
      </c>
      <c r="C302" s="0" t="s">
        <v>17</v>
      </c>
      <c r="D302" s="0" t="s">
        <v>35</v>
      </c>
      <c r="E302" s="0" t="n">
        <v>1643</v>
      </c>
      <c r="F302" s="0" t="s">
        <v>52</v>
      </c>
      <c r="G302" s="0" t="s">
        <v>21</v>
      </c>
      <c r="H302" s="0" t="n">
        <f aca="false">IF(G302=" ALARM",1,0)</f>
        <v>0</v>
      </c>
      <c r="I302" s="0" t="s">
        <v>21</v>
      </c>
      <c r="J302" s="0" t="n">
        <f aca="false">IF(I302=" ALARM",1,0)</f>
        <v>0</v>
      </c>
      <c r="K302" s="0" t="s">
        <v>20</v>
      </c>
      <c r="L302" s="0" t="n">
        <f aca="false">IF(K302=" ALARM",1,0)</f>
        <v>1</v>
      </c>
      <c r="M302" s="0" t="s">
        <v>440</v>
      </c>
      <c r="N302" s="0" t="s">
        <v>440</v>
      </c>
      <c r="O302" s="0" t="s">
        <v>966</v>
      </c>
    </row>
    <row r="303" customFormat="false" ht="12.8" hidden="false" customHeight="false" outlineLevel="0" collapsed="false">
      <c r="A303" s="0" t="n">
        <v>1328546</v>
      </c>
      <c r="B303" s="0" t="s">
        <v>967</v>
      </c>
      <c r="C303" s="0" t="s">
        <v>17</v>
      </c>
      <c r="D303" s="0" t="s">
        <v>35</v>
      </c>
      <c r="E303" s="0" t="n">
        <v>1643</v>
      </c>
      <c r="F303" s="0" t="s">
        <v>52</v>
      </c>
      <c r="G303" s="0" t="s">
        <v>21</v>
      </c>
      <c r="H303" s="0" t="n">
        <f aca="false">IF(G303=" ALARM",1,0)</f>
        <v>0</v>
      </c>
      <c r="I303" s="0" t="s">
        <v>21</v>
      </c>
      <c r="J303" s="0" t="n">
        <f aca="false">IF(I303=" ALARM",1,0)</f>
        <v>0</v>
      </c>
      <c r="K303" s="0" t="s">
        <v>20</v>
      </c>
      <c r="L303" s="0" t="n">
        <f aca="false">IF(K303=" ALARM",1,0)</f>
        <v>1</v>
      </c>
      <c r="M303" s="0" t="s">
        <v>440</v>
      </c>
      <c r="N303" s="0" t="s">
        <v>440</v>
      </c>
      <c r="O303" s="0" t="s">
        <v>968</v>
      </c>
    </row>
    <row r="304" customFormat="false" ht="12.8" hidden="false" customHeight="false" outlineLevel="0" collapsed="false">
      <c r="A304" s="0" t="n">
        <v>1328550</v>
      </c>
      <c r="B304" s="0" t="s">
        <v>969</v>
      </c>
      <c r="C304" s="0" t="s">
        <v>17</v>
      </c>
      <c r="D304" s="0" t="s">
        <v>35</v>
      </c>
      <c r="E304" s="0" t="n">
        <v>1643</v>
      </c>
      <c r="F304" s="0" t="s">
        <v>52</v>
      </c>
      <c r="G304" s="0" t="s">
        <v>21</v>
      </c>
      <c r="H304" s="0" t="n">
        <f aca="false">IF(G304=" ALARM",1,0)</f>
        <v>0</v>
      </c>
      <c r="I304" s="0" t="s">
        <v>21</v>
      </c>
      <c r="J304" s="0" t="n">
        <f aca="false">IF(I304=" ALARM",1,0)</f>
        <v>0</v>
      </c>
      <c r="K304" s="0" t="s">
        <v>20</v>
      </c>
      <c r="L304" s="0" t="n">
        <f aca="false">IF(K304=" ALARM",1,0)</f>
        <v>1</v>
      </c>
      <c r="M304" s="0" t="s">
        <v>440</v>
      </c>
      <c r="N304" s="0" t="s">
        <v>440</v>
      </c>
      <c r="O304" s="0" t="s">
        <v>968</v>
      </c>
    </row>
    <row r="305" customFormat="false" ht="12.8" hidden="false" customHeight="false" outlineLevel="0" collapsed="false">
      <c r="A305" s="0" t="n">
        <v>1328552</v>
      </c>
      <c r="B305" s="0" t="s">
        <v>970</v>
      </c>
      <c r="C305" s="0" t="s">
        <v>17</v>
      </c>
      <c r="D305" s="0" t="s">
        <v>35</v>
      </c>
      <c r="E305" s="0" t="n">
        <v>1643</v>
      </c>
      <c r="F305" s="0" t="s">
        <v>52</v>
      </c>
      <c r="G305" s="0" t="s">
        <v>21</v>
      </c>
      <c r="H305" s="0" t="n">
        <f aca="false">IF(G305=" ALARM",1,0)</f>
        <v>0</v>
      </c>
      <c r="I305" s="0" t="s">
        <v>21</v>
      </c>
      <c r="J305" s="0" t="n">
        <f aca="false">IF(I305=" ALARM",1,0)</f>
        <v>0</v>
      </c>
      <c r="K305" s="0" t="s">
        <v>30</v>
      </c>
      <c r="L305" s="0" t="n">
        <f aca="false">IF(K305=" ALARM",1,0)</f>
        <v>0</v>
      </c>
      <c r="M305" s="0" t="s">
        <v>440</v>
      </c>
      <c r="N305" s="0" t="s">
        <v>440</v>
      </c>
      <c r="O305" s="0" t="s">
        <v>968</v>
      </c>
    </row>
    <row r="306" customFormat="false" ht="12.8" hidden="false" customHeight="false" outlineLevel="0" collapsed="false">
      <c r="A306" s="0" t="n">
        <v>1328570</v>
      </c>
      <c r="B306" s="0" t="s">
        <v>971</v>
      </c>
      <c r="C306" s="0" t="s">
        <v>17</v>
      </c>
      <c r="D306" s="0" t="s">
        <v>35</v>
      </c>
      <c r="E306" s="0" t="n">
        <v>1643</v>
      </c>
      <c r="F306" s="0" t="s">
        <v>52</v>
      </c>
      <c r="G306" s="0" t="s">
        <v>21</v>
      </c>
      <c r="H306" s="0" t="n">
        <f aca="false">IF(G306=" ALARM",1,0)</f>
        <v>0</v>
      </c>
      <c r="I306" s="0" t="s">
        <v>21</v>
      </c>
      <c r="J306" s="0" t="n">
        <f aca="false">IF(I306=" ALARM",1,0)</f>
        <v>0</v>
      </c>
      <c r="K306" s="0" t="s">
        <v>30</v>
      </c>
      <c r="L306" s="0" t="n">
        <f aca="false">IF(K306=" ALARM",1,0)</f>
        <v>0</v>
      </c>
      <c r="M306" s="0" t="s">
        <v>440</v>
      </c>
      <c r="N306" s="0" t="s">
        <v>440</v>
      </c>
      <c r="O306" s="0" t="s">
        <v>972</v>
      </c>
    </row>
    <row r="307" customFormat="false" ht="12.8" hidden="false" customHeight="false" outlineLevel="0" collapsed="false">
      <c r="A307" s="0" t="n">
        <v>1328579</v>
      </c>
      <c r="B307" s="0" t="s">
        <v>973</v>
      </c>
      <c r="C307" s="0" t="s">
        <v>17</v>
      </c>
      <c r="D307" s="0" t="s">
        <v>35</v>
      </c>
      <c r="E307" s="0" t="n">
        <v>1643</v>
      </c>
      <c r="F307" s="0" t="s">
        <v>52</v>
      </c>
      <c r="G307" s="0" t="s">
        <v>21</v>
      </c>
      <c r="H307" s="0" t="n">
        <f aca="false">IF(G307=" ALARM",1,0)</f>
        <v>0</v>
      </c>
      <c r="I307" s="0" t="s">
        <v>21</v>
      </c>
      <c r="J307" s="0" t="n">
        <f aca="false">IF(I307=" ALARM",1,0)</f>
        <v>0</v>
      </c>
      <c r="K307" s="0" t="s">
        <v>30</v>
      </c>
      <c r="L307" s="0" t="n">
        <f aca="false">IF(K307=" ALARM",1,0)</f>
        <v>0</v>
      </c>
      <c r="M307" s="0" t="s">
        <v>440</v>
      </c>
      <c r="N307" s="0" t="s">
        <v>440</v>
      </c>
      <c r="O307" s="0" t="s">
        <v>972</v>
      </c>
    </row>
    <row r="308" customFormat="false" ht="12.8" hidden="false" customHeight="false" outlineLevel="0" collapsed="false">
      <c r="A308" s="0" t="n">
        <v>1329211</v>
      </c>
      <c r="B308" s="0" t="s">
        <v>974</v>
      </c>
      <c r="C308" s="0" t="s">
        <v>17</v>
      </c>
      <c r="D308" s="0" t="s">
        <v>18</v>
      </c>
      <c r="E308" s="0" t="n">
        <v>1643</v>
      </c>
      <c r="F308" s="0" t="s">
        <v>52</v>
      </c>
      <c r="G308" s="0" t="s">
        <v>21</v>
      </c>
      <c r="H308" s="0" t="n">
        <f aca="false">IF(G308=" ALARM",1,0)</f>
        <v>0</v>
      </c>
      <c r="I308" s="0" t="s">
        <v>21</v>
      </c>
      <c r="J308" s="0" t="n">
        <f aca="false">IF(I308=" ALARM",1,0)</f>
        <v>0</v>
      </c>
      <c r="K308" s="0" t="s">
        <v>30</v>
      </c>
      <c r="L308" s="0" t="n">
        <f aca="false">IF(K308=" ALARM",1,0)</f>
        <v>0</v>
      </c>
      <c r="M308" s="0" t="s">
        <v>440</v>
      </c>
      <c r="N308" s="0" t="s">
        <v>440</v>
      </c>
      <c r="O308" s="0" t="s">
        <v>975</v>
      </c>
    </row>
    <row r="309" customFormat="false" ht="12.8" hidden="false" customHeight="false" outlineLevel="0" collapsed="false">
      <c r="A309" s="0" t="n">
        <v>1322471</v>
      </c>
      <c r="B309" s="0" t="s">
        <v>976</v>
      </c>
      <c r="C309" s="0" t="s">
        <v>17</v>
      </c>
      <c r="D309" s="0" t="s">
        <v>35</v>
      </c>
      <c r="E309" s="0" t="n">
        <v>39</v>
      </c>
      <c r="F309" s="0" t="s">
        <v>490</v>
      </c>
      <c r="G309" s="0" t="s">
        <v>20</v>
      </c>
      <c r="H309" s="0" t="n">
        <f aca="false">IF(G309=" ALARM",1,0)</f>
        <v>1</v>
      </c>
      <c r="I309" s="0" t="s">
        <v>20</v>
      </c>
      <c r="J309" s="0" t="n">
        <f aca="false">IF(I309=" ALARM",1,0)</f>
        <v>1</v>
      </c>
      <c r="K309" s="0" t="s">
        <v>20</v>
      </c>
      <c r="L309" s="0" t="n">
        <f aca="false">IF(K309=" ALARM",1,0)</f>
        <v>1</v>
      </c>
      <c r="M309" s="0" t="s">
        <v>894</v>
      </c>
      <c r="N309" s="0" t="s">
        <v>977</v>
      </c>
      <c r="O309" s="0" t="s">
        <v>874</v>
      </c>
    </row>
    <row r="310" customFormat="false" ht="12.8" hidden="false" customHeight="false" outlineLevel="0" collapsed="false">
      <c r="A310" s="0" t="n">
        <v>1322457</v>
      </c>
      <c r="B310" s="0" t="s">
        <v>978</v>
      </c>
      <c r="C310" s="0" t="s">
        <v>17</v>
      </c>
      <c r="D310" s="0" t="s">
        <v>35</v>
      </c>
      <c r="E310" s="0" t="n">
        <v>39</v>
      </c>
      <c r="F310" s="0" t="s">
        <v>490</v>
      </c>
      <c r="G310" s="0" t="s">
        <v>20</v>
      </c>
      <c r="H310" s="0" t="n">
        <f aca="false">IF(G310=" ALARM",1,0)</f>
        <v>1</v>
      </c>
      <c r="I310" s="0" t="s">
        <v>20</v>
      </c>
      <c r="J310" s="0" t="n">
        <f aca="false">IF(I310=" ALARM",1,0)</f>
        <v>1</v>
      </c>
      <c r="K310" s="0" t="s">
        <v>20</v>
      </c>
      <c r="L310" s="0" t="n">
        <f aca="false">IF(K310=" ALARM",1,0)</f>
        <v>1</v>
      </c>
      <c r="M310" s="0" t="s">
        <v>979</v>
      </c>
      <c r="N310" s="0" t="s">
        <v>980</v>
      </c>
      <c r="O310" s="0" t="s">
        <v>874</v>
      </c>
    </row>
    <row r="311" customFormat="false" ht="12.8" hidden="false" customHeight="false" outlineLevel="0" collapsed="false">
      <c r="A311" s="0" t="n">
        <v>1335732</v>
      </c>
      <c r="B311" s="0" t="s">
        <v>981</v>
      </c>
      <c r="C311" s="0" t="s">
        <v>17</v>
      </c>
      <c r="D311" s="0" t="s">
        <v>35</v>
      </c>
      <c r="E311" s="0" t="n">
        <v>39</v>
      </c>
      <c r="F311" s="0" t="s">
        <v>490</v>
      </c>
      <c r="G311" s="0" t="s">
        <v>20</v>
      </c>
      <c r="H311" s="0" t="n">
        <f aca="false">IF(G311=" ALARM",1,0)</f>
        <v>1</v>
      </c>
      <c r="I311" s="0" t="s">
        <v>20</v>
      </c>
      <c r="J311" s="0" t="n">
        <f aca="false">IF(I311=" ALARM",1,0)</f>
        <v>1</v>
      </c>
      <c r="K311" s="0" t="s">
        <v>20</v>
      </c>
      <c r="L311" s="0" t="n">
        <f aca="false">IF(K311=" ALARM",1,0)</f>
        <v>1</v>
      </c>
      <c r="M311" s="0" t="s">
        <v>982</v>
      </c>
      <c r="N311" s="0" t="s">
        <v>983</v>
      </c>
      <c r="O311" s="0" t="s">
        <v>984</v>
      </c>
    </row>
    <row r="312" customFormat="false" ht="12.8" hidden="false" customHeight="false" outlineLevel="0" collapsed="false">
      <c r="A312" s="0" t="n">
        <v>1335737</v>
      </c>
      <c r="B312" s="0" t="s">
        <v>985</v>
      </c>
      <c r="C312" s="0" t="s">
        <v>17</v>
      </c>
      <c r="D312" s="0" t="s">
        <v>35</v>
      </c>
      <c r="E312" s="0" t="n">
        <v>39</v>
      </c>
      <c r="F312" s="0" t="s">
        <v>490</v>
      </c>
      <c r="G312" s="0" t="s">
        <v>20</v>
      </c>
      <c r="H312" s="0" t="n">
        <f aca="false">IF(G312=" ALARM",1,0)</f>
        <v>1</v>
      </c>
      <c r="I312" s="0" t="s">
        <v>20</v>
      </c>
      <c r="J312" s="0" t="n">
        <f aca="false">IF(I312=" ALARM",1,0)</f>
        <v>1</v>
      </c>
      <c r="K312" s="0" t="s">
        <v>20</v>
      </c>
      <c r="L312" s="0" t="n">
        <f aca="false">IF(K312=" ALARM",1,0)</f>
        <v>1</v>
      </c>
      <c r="M312" s="0" t="s">
        <v>986</v>
      </c>
      <c r="N312" s="0" t="s">
        <v>987</v>
      </c>
      <c r="O312" s="0" t="s">
        <v>984</v>
      </c>
    </row>
    <row r="313" customFormat="false" ht="12.8" hidden="false" customHeight="false" outlineLevel="0" collapsed="false">
      <c r="A313" s="0" t="n">
        <v>1332192</v>
      </c>
      <c r="B313" s="0" t="s">
        <v>988</v>
      </c>
      <c r="C313" s="0" t="s">
        <v>17</v>
      </c>
      <c r="D313" s="0" t="s">
        <v>35</v>
      </c>
      <c r="E313" s="0" t="n">
        <v>1246</v>
      </c>
      <c r="F313" s="0" t="s">
        <v>52</v>
      </c>
      <c r="G313" s="0" t="s">
        <v>20</v>
      </c>
      <c r="H313" s="0" t="n">
        <f aca="false">IF(G313=" ALARM",1,0)</f>
        <v>1</v>
      </c>
      <c r="I313" s="0" t="s">
        <v>20</v>
      </c>
      <c r="J313" s="0" t="n">
        <f aca="false">IF(I313=" ALARM",1,0)</f>
        <v>1</v>
      </c>
      <c r="K313" s="0" t="s">
        <v>20</v>
      </c>
      <c r="L313" s="0" t="n">
        <f aca="false">IF(K313=" ALARM",1,0)</f>
        <v>1</v>
      </c>
      <c r="M313" s="0" t="s">
        <v>989</v>
      </c>
      <c r="N313" s="0" t="s">
        <v>990</v>
      </c>
    </row>
    <row r="314" customFormat="false" ht="12.8" hidden="false" customHeight="false" outlineLevel="0" collapsed="false">
      <c r="A314" s="0" t="n">
        <v>1333303</v>
      </c>
      <c r="B314" s="0" t="s">
        <v>991</v>
      </c>
      <c r="C314" s="0" t="s">
        <v>17</v>
      </c>
      <c r="D314" s="0" t="s">
        <v>35</v>
      </c>
      <c r="E314" s="0" t="n">
        <v>1246</v>
      </c>
      <c r="F314" s="0" t="s">
        <v>52</v>
      </c>
      <c r="G314" s="0" t="s">
        <v>20</v>
      </c>
      <c r="H314" s="0" t="n">
        <f aca="false">IF(G314=" ALARM",1,0)</f>
        <v>1</v>
      </c>
      <c r="I314" s="0" t="s">
        <v>20</v>
      </c>
      <c r="J314" s="0" t="n">
        <f aca="false">IF(I314=" ALARM",1,0)</f>
        <v>1</v>
      </c>
      <c r="K314" s="0" t="s">
        <v>20</v>
      </c>
      <c r="L314" s="0" t="n">
        <f aca="false">IF(K314=" ALARM",1,0)</f>
        <v>1</v>
      </c>
      <c r="M314" s="0" t="s">
        <v>992</v>
      </c>
      <c r="N314" s="0" t="s">
        <v>993</v>
      </c>
    </row>
    <row r="315" customFormat="false" ht="12.8" hidden="false" customHeight="false" outlineLevel="0" collapsed="false">
      <c r="A315" s="0" t="n">
        <v>1329261</v>
      </c>
      <c r="B315" s="0" t="s">
        <v>994</v>
      </c>
      <c r="C315" s="0" t="s">
        <v>17</v>
      </c>
      <c r="D315" s="0" t="s">
        <v>35</v>
      </c>
      <c r="E315" s="0" t="n">
        <v>1643</v>
      </c>
      <c r="F315" s="0" t="s">
        <v>52</v>
      </c>
      <c r="G315" s="0" t="s">
        <v>21</v>
      </c>
      <c r="H315" s="0" t="n">
        <f aca="false">IF(G315=" ALARM",1,0)</f>
        <v>0</v>
      </c>
      <c r="I315" s="0" t="s">
        <v>21</v>
      </c>
      <c r="J315" s="0" t="n">
        <f aca="false">IF(I315=" ALARM",1,0)</f>
        <v>0</v>
      </c>
      <c r="K315" s="0" t="s">
        <v>30</v>
      </c>
      <c r="L315" s="0" t="n">
        <f aca="false">IF(K315=" ALARM",1,0)</f>
        <v>0</v>
      </c>
      <c r="M315" s="0" t="s">
        <v>840</v>
      </c>
      <c r="N315" s="0" t="s">
        <v>840</v>
      </c>
    </row>
    <row r="316" customFormat="false" ht="12.8" hidden="false" customHeight="false" outlineLevel="0" collapsed="false">
      <c r="A316" s="0" t="n">
        <v>1329280</v>
      </c>
      <c r="B316" s="0" t="s">
        <v>995</v>
      </c>
      <c r="C316" s="0" t="s">
        <v>17</v>
      </c>
      <c r="D316" s="0" t="s">
        <v>35</v>
      </c>
      <c r="E316" s="0" t="n">
        <v>1643</v>
      </c>
      <c r="F316" s="0" t="s">
        <v>52</v>
      </c>
      <c r="G316" s="0" t="s">
        <v>21</v>
      </c>
      <c r="H316" s="0" t="n">
        <f aca="false">IF(G316=" ALARM",1,0)</f>
        <v>0</v>
      </c>
      <c r="I316" s="0" t="s">
        <v>21</v>
      </c>
      <c r="J316" s="0" t="n">
        <f aca="false">IF(I316=" ALARM",1,0)</f>
        <v>0</v>
      </c>
      <c r="K316" s="0" t="s">
        <v>20</v>
      </c>
      <c r="L316" s="0" t="n">
        <f aca="false">IF(K316=" ALARM",1,0)</f>
        <v>1</v>
      </c>
      <c r="M316" s="0" t="s">
        <v>868</v>
      </c>
      <c r="N316" s="0" t="s">
        <v>868</v>
      </c>
      <c r="O316" s="0" t="s">
        <v>996</v>
      </c>
    </row>
    <row r="317" customFormat="false" ht="12.8" hidden="false" customHeight="false" outlineLevel="0" collapsed="false">
      <c r="A317" s="0" t="n">
        <v>1329284</v>
      </c>
      <c r="B317" s="0" t="s">
        <v>997</v>
      </c>
      <c r="C317" s="0" t="s">
        <v>17</v>
      </c>
      <c r="D317" s="0" t="s">
        <v>35</v>
      </c>
      <c r="E317" s="0" t="n">
        <v>1643</v>
      </c>
      <c r="F317" s="0" t="s">
        <v>52</v>
      </c>
      <c r="G317" s="0" t="s">
        <v>21</v>
      </c>
      <c r="H317" s="0" t="n">
        <f aca="false">IF(G317=" ALARM",1,0)</f>
        <v>0</v>
      </c>
      <c r="I317" s="0" t="s">
        <v>21</v>
      </c>
      <c r="J317" s="0" t="n">
        <f aca="false">IF(I317=" ALARM",1,0)</f>
        <v>0</v>
      </c>
      <c r="K317" s="0" t="s">
        <v>20</v>
      </c>
      <c r="L317" s="0" t="n">
        <f aca="false">IF(K317=" ALARM",1,0)</f>
        <v>1</v>
      </c>
      <c r="M317" s="0" t="s">
        <v>440</v>
      </c>
      <c r="N317" s="0" t="s">
        <v>440</v>
      </c>
      <c r="O317" s="0" t="s">
        <v>998</v>
      </c>
    </row>
    <row r="318" customFormat="false" ht="12.8" hidden="false" customHeight="false" outlineLevel="0" collapsed="false">
      <c r="A318" s="0" t="n">
        <v>1332378</v>
      </c>
      <c r="B318" s="0" t="s">
        <v>999</v>
      </c>
      <c r="C318" s="0" t="s">
        <v>17</v>
      </c>
      <c r="D318" s="0" t="s">
        <v>35</v>
      </c>
      <c r="E318" s="0" t="n">
        <v>1643</v>
      </c>
      <c r="F318" s="0" t="s">
        <v>52</v>
      </c>
      <c r="G318" s="0" t="s">
        <v>21</v>
      </c>
      <c r="H318" s="0" t="n">
        <f aca="false">IF(G318=" ALARM",1,0)</f>
        <v>0</v>
      </c>
      <c r="I318" s="0" t="s">
        <v>21</v>
      </c>
      <c r="J318" s="0" t="n">
        <f aca="false">IF(I318=" ALARM",1,0)</f>
        <v>0</v>
      </c>
      <c r="K318" s="0" t="s">
        <v>20</v>
      </c>
      <c r="L318" s="0" t="n">
        <f aca="false">IF(K318=" ALARM",1,0)</f>
        <v>1</v>
      </c>
      <c r="M318" s="0" t="s">
        <v>440</v>
      </c>
      <c r="N318" s="0" t="s">
        <v>440</v>
      </c>
    </row>
    <row r="319" customFormat="false" ht="12.8" hidden="false" customHeight="false" outlineLevel="0" collapsed="false">
      <c r="A319" s="0" t="n">
        <v>1332376</v>
      </c>
      <c r="B319" s="0" t="s">
        <v>1000</v>
      </c>
      <c r="C319" s="0" t="s">
        <v>17</v>
      </c>
      <c r="D319" s="0" t="s">
        <v>35</v>
      </c>
      <c r="E319" s="0" t="n">
        <v>1643</v>
      </c>
      <c r="F319" s="0" t="s">
        <v>52</v>
      </c>
      <c r="G319" s="0" t="s">
        <v>20</v>
      </c>
      <c r="H319" s="0" t="n">
        <f aca="false">IF(G319=" ALARM",1,0)</f>
        <v>1</v>
      </c>
      <c r="I319" s="0" t="s">
        <v>20</v>
      </c>
      <c r="J319" s="0" t="n">
        <f aca="false">IF(I319=" ALARM",1,0)</f>
        <v>1</v>
      </c>
      <c r="K319" s="0" t="s">
        <v>20</v>
      </c>
      <c r="L319" s="0" t="n">
        <f aca="false">IF(K319=" ALARM",1,0)</f>
        <v>1</v>
      </c>
      <c r="M319" s="0" t="s">
        <v>1001</v>
      </c>
      <c r="N319" s="0" t="s">
        <v>1002</v>
      </c>
    </row>
    <row r="320" customFormat="false" ht="12.8" hidden="false" customHeight="false" outlineLevel="0" collapsed="false">
      <c r="A320" s="0" t="n">
        <v>1332361</v>
      </c>
      <c r="B320" s="0" t="s">
        <v>1003</v>
      </c>
      <c r="C320" s="0" t="s">
        <v>17</v>
      </c>
      <c r="D320" s="0" t="s">
        <v>35</v>
      </c>
      <c r="E320" s="0" t="n">
        <v>1643</v>
      </c>
      <c r="F320" s="0" t="s">
        <v>52</v>
      </c>
      <c r="G320" s="0" t="s">
        <v>20</v>
      </c>
      <c r="H320" s="0" t="n">
        <f aca="false">IF(G320=" ALARM",1,0)</f>
        <v>1</v>
      </c>
      <c r="I320" s="0" t="s">
        <v>20</v>
      </c>
      <c r="J320" s="0" t="n">
        <f aca="false">IF(I320=" ALARM",1,0)</f>
        <v>1</v>
      </c>
      <c r="K320" s="0" t="s">
        <v>20</v>
      </c>
      <c r="L320" s="0" t="n">
        <f aca="false">IF(K320=" ALARM",1,0)</f>
        <v>1</v>
      </c>
      <c r="M320" s="0" t="s">
        <v>1004</v>
      </c>
      <c r="N320" s="0" t="s">
        <v>1005</v>
      </c>
    </row>
    <row r="321" customFormat="false" ht="12.8" hidden="false" customHeight="false" outlineLevel="0" collapsed="false">
      <c r="A321" s="0" t="n">
        <v>1332354</v>
      </c>
      <c r="B321" s="0" t="s">
        <v>1006</v>
      </c>
      <c r="C321" s="0" t="s">
        <v>17</v>
      </c>
      <c r="D321" s="0" t="s">
        <v>97</v>
      </c>
      <c r="E321" s="0" t="n">
        <v>1643</v>
      </c>
      <c r="F321" s="0" t="s">
        <v>52</v>
      </c>
      <c r="G321" s="0" t="s">
        <v>21</v>
      </c>
      <c r="H321" s="0" t="n">
        <f aca="false">IF(G321=" ALARM",1,0)</f>
        <v>0</v>
      </c>
      <c r="I321" s="0" t="s">
        <v>21</v>
      </c>
      <c r="J321" s="0" t="n">
        <f aca="false">IF(I321=" ALARM",1,0)</f>
        <v>0</v>
      </c>
      <c r="K321" s="0" t="s">
        <v>30</v>
      </c>
      <c r="L321" s="0" t="n">
        <f aca="false">IF(K321=" ALARM",1,0)</f>
        <v>0</v>
      </c>
      <c r="M321" s="0" t="s">
        <v>440</v>
      </c>
      <c r="N321" s="0" t="s">
        <v>440</v>
      </c>
      <c r="O321" s="0" t="s">
        <v>1007</v>
      </c>
    </row>
    <row r="322" customFormat="false" ht="12.8" hidden="false" customHeight="false" outlineLevel="0" collapsed="false">
      <c r="A322" s="0" t="n">
        <v>1332358</v>
      </c>
      <c r="B322" s="0" t="s">
        <v>1008</v>
      </c>
      <c r="C322" s="0" t="s">
        <v>17</v>
      </c>
      <c r="D322" s="0" t="s">
        <v>36</v>
      </c>
      <c r="E322" s="0" t="n">
        <v>1643</v>
      </c>
      <c r="F322" s="0" t="s">
        <v>52</v>
      </c>
      <c r="G322" s="0" t="s">
        <v>20</v>
      </c>
      <c r="H322" s="0" t="n">
        <f aca="false">IF(G322=" ALARM",1,0)</f>
        <v>1</v>
      </c>
      <c r="I322" s="0" t="s">
        <v>20</v>
      </c>
      <c r="J322" s="0" t="n">
        <f aca="false">IF(I322=" ALARM",1,0)</f>
        <v>1</v>
      </c>
      <c r="K322" s="0" t="s">
        <v>30</v>
      </c>
      <c r="L322" s="0" t="n">
        <f aca="false">IF(K322=" ALARM",1,0)</f>
        <v>0</v>
      </c>
      <c r="M322" s="0" t="s">
        <v>1009</v>
      </c>
      <c r="N322" s="0" t="s">
        <v>1010</v>
      </c>
      <c r="O322" s="0" t="s">
        <v>1011</v>
      </c>
    </row>
    <row r="323" customFormat="false" ht="12.8" hidden="false" customHeight="false" outlineLevel="0" collapsed="false">
      <c r="A323" s="0" t="n">
        <v>1332381</v>
      </c>
      <c r="B323" s="0" t="s">
        <v>1012</v>
      </c>
      <c r="C323" s="0" t="s">
        <v>17</v>
      </c>
      <c r="D323" s="0" t="s">
        <v>36</v>
      </c>
      <c r="E323" s="0" t="n">
        <v>1643</v>
      </c>
      <c r="F323" s="0" t="s">
        <v>52</v>
      </c>
      <c r="G323" s="0" t="s">
        <v>21</v>
      </c>
      <c r="H323" s="0" t="n">
        <f aca="false">IF(G323=" ALARM",1,0)</f>
        <v>0</v>
      </c>
      <c r="I323" s="0" t="s">
        <v>21</v>
      </c>
      <c r="J323" s="0" t="n">
        <f aca="false">IF(I323=" ALARM",1,0)</f>
        <v>0</v>
      </c>
      <c r="K323" s="0" t="s">
        <v>20</v>
      </c>
      <c r="L323" s="0" t="n">
        <f aca="false">IF(K323=" ALARM",1,0)</f>
        <v>1</v>
      </c>
      <c r="M323" s="0" t="s">
        <v>440</v>
      </c>
      <c r="N323" s="0" t="s">
        <v>440</v>
      </c>
      <c r="O323" s="0" t="s">
        <v>1011</v>
      </c>
    </row>
    <row r="324" customFormat="false" ht="12.8" hidden="false" customHeight="false" outlineLevel="0" collapsed="false">
      <c r="A324" s="0" t="n">
        <v>1332391</v>
      </c>
      <c r="B324" s="0" t="s">
        <v>1013</v>
      </c>
      <c r="C324" s="0" t="s">
        <v>17</v>
      </c>
      <c r="D324" s="0" t="s">
        <v>36</v>
      </c>
      <c r="E324" s="0" t="n">
        <v>1643</v>
      </c>
      <c r="F324" s="0" t="s">
        <v>52</v>
      </c>
      <c r="G324" s="0" t="s">
        <v>21</v>
      </c>
      <c r="H324" s="0" t="n">
        <f aca="false">IF(G324=" ALARM",1,0)</f>
        <v>0</v>
      </c>
      <c r="I324" s="0" t="s">
        <v>21</v>
      </c>
      <c r="J324" s="0" t="n">
        <f aca="false">IF(I324=" ALARM",1,0)</f>
        <v>0</v>
      </c>
      <c r="K324" s="0" t="s">
        <v>30</v>
      </c>
      <c r="L324" s="0" t="n">
        <f aca="false">IF(K324=" ALARM",1,0)</f>
        <v>0</v>
      </c>
      <c r="M324" s="0" t="s">
        <v>440</v>
      </c>
      <c r="N324" s="0" t="s">
        <v>440</v>
      </c>
      <c r="O324" s="0" t="s">
        <v>1014</v>
      </c>
    </row>
    <row r="325" customFormat="false" ht="12.8" hidden="false" customHeight="false" outlineLevel="0" collapsed="false">
      <c r="A325" s="0" t="n">
        <v>1332392</v>
      </c>
      <c r="B325" s="0" t="s">
        <v>1015</v>
      </c>
      <c r="C325" s="0" t="s">
        <v>17</v>
      </c>
      <c r="D325" s="0" t="s">
        <v>97</v>
      </c>
      <c r="E325" s="0" t="n">
        <v>1643</v>
      </c>
      <c r="F325" s="0" t="s">
        <v>52</v>
      </c>
      <c r="G325" s="0" t="s">
        <v>21</v>
      </c>
      <c r="H325" s="0" t="n">
        <f aca="false">IF(G325=" ALARM",1,0)</f>
        <v>0</v>
      </c>
      <c r="I325" s="0" t="s">
        <v>21</v>
      </c>
      <c r="J325" s="0" t="n">
        <f aca="false">IF(I325=" ALARM",1,0)</f>
        <v>0</v>
      </c>
      <c r="K325" s="0" t="s">
        <v>30</v>
      </c>
      <c r="L325" s="0" t="n">
        <f aca="false">IF(K325=" ALARM",1,0)</f>
        <v>0</v>
      </c>
      <c r="M325" s="0" t="s">
        <v>440</v>
      </c>
      <c r="N325" s="0" t="s">
        <v>440</v>
      </c>
      <c r="O325" s="0" t="s">
        <v>1016</v>
      </c>
    </row>
    <row r="326" customFormat="false" ht="12.8" hidden="false" customHeight="false" outlineLevel="0" collapsed="false">
      <c r="A326" s="0" t="n">
        <v>1333417</v>
      </c>
      <c r="B326" s="0" t="s">
        <v>1017</v>
      </c>
      <c r="C326" s="0" t="s">
        <v>17</v>
      </c>
      <c r="D326" s="0" t="s">
        <v>35</v>
      </c>
      <c r="E326" s="0" t="n">
        <v>1643</v>
      </c>
      <c r="F326" s="0" t="s">
        <v>52</v>
      </c>
      <c r="G326" s="0" t="s">
        <v>21</v>
      </c>
      <c r="H326" s="0" t="n">
        <f aca="false">IF(G326=" ALARM",1,0)</f>
        <v>0</v>
      </c>
      <c r="I326" s="0" t="s">
        <v>21</v>
      </c>
      <c r="J326" s="0" t="n">
        <f aca="false">IF(I326=" ALARM",1,0)</f>
        <v>0</v>
      </c>
      <c r="K326" s="0" t="s">
        <v>20</v>
      </c>
      <c r="L326" s="0" t="n">
        <f aca="false">IF(K326=" ALARM",1,0)</f>
        <v>1</v>
      </c>
      <c r="M326" s="0" t="s">
        <v>440</v>
      </c>
      <c r="N326" s="0" t="s">
        <v>440</v>
      </c>
      <c r="O326" s="0" t="s">
        <v>1018</v>
      </c>
    </row>
    <row r="327" customFormat="false" ht="12.8" hidden="false" customHeight="false" outlineLevel="0" collapsed="false">
      <c r="A327" s="0" t="n">
        <v>1333420</v>
      </c>
      <c r="B327" s="0" t="s">
        <v>1019</v>
      </c>
      <c r="C327" s="0" t="s">
        <v>17</v>
      </c>
      <c r="D327" s="0" t="s">
        <v>35</v>
      </c>
      <c r="E327" s="0" t="n">
        <v>1643</v>
      </c>
      <c r="F327" s="0" t="s">
        <v>52</v>
      </c>
      <c r="G327" s="0" t="s">
        <v>21</v>
      </c>
      <c r="H327" s="0" t="n">
        <f aca="false">IF(G327=" ALARM",1,0)</f>
        <v>0</v>
      </c>
      <c r="I327" s="0" t="s">
        <v>21</v>
      </c>
      <c r="J327" s="0" t="n">
        <f aca="false">IF(I327=" ALARM",1,0)</f>
        <v>0</v>
      </c>
      <c r="K327" s="0" t="s">
        <v>30</v>
      </c>
      <c r="L327" s="0" t="n">
        <f aca="false">IF(K327=" ALARM",1,0)</f>
        <v>0</v>
      </c>
      <c r="M327" s="0" t="s">
        <v>440</v>
      </c>
      <c r="N327" s="0" t="s">
        <v>440</v>
      </c>
      <c r="O327" s="0" t="s">
        <v>1020</v>
      </c>
    </row>
    <row r="328" customFormat="false" ht="12.8" hidden="false" customHeight="false" outlineLevel="0" collapsed="false">
      <c r="A328" s="0" t="n">
        <v>1337717</v>
      </c>
      <c r="B328" s="0" t="s">
        <v>1021</v>
      </c>
      <c r="C328" s="0" t="s">
        <v>17</v>
      </c>
      <c r="D328" s="0" t="s">
        <v>35</v>
      </c>
      <c r="E328" s="0" t="n">
        <v>1640</v>
      </c>
      <c r="F328" s="0" t="s">
        <v>490</v>
      </c>
      <c r="G328" s="0" t="s">
        <v>30</v>
      </c>
      <c r="H328" s="0" t="n">
        <f aca="false">IF(G328=" ALARM",1,0)</f>
        <v>0</v>
      </c>
      <c r="I328" s="0" t="s">
        <v>20</v>
      </c>
      <c r="J328" s="0" t="n">
        <f aca="false">IF(I328=" ALARM",1,0)</f>
        <v>1</v>
      </c>
      <c r="K328" s="0" t="s">
        <v>20</v>
      </c>
      <c r="L328" s="0" t="n">
        <f aca="false">IF(K328=" ALARM",1,0)</f>
        <v>1</v>
      </c>
      <c r="M328" s="0" t="s">
        <v>1022</v>
      </c>
      <c r="N328" s="0" t="s">
        <v>1023</v>
      </c>
    </row>
    <row r="329" customFormat="false" ht="12.8" hidden="false" customHeight="false" outlineLevel="0" collapsed="false">
      <c r="A329" s="0" t="n">
        <v>1335893</v>
      </c>
      <c r="B329" s="0" t="s">
        <v>1024</v>
      </c>
      <c r="C329" s="0" t="s">
        <v>17</v>
      </c>
      <c r="D329" s="0" t="s">
        <v>35</v>
      </c>
      <c r="E329" s="0" t="n">
        <v>1643</v>
      </c>
      <c r="F329" s="0" t="s">
        <v>52</v>
      </c>
      <c r="G329" s="0" t="s">
        <v>21</v>
      </c>
      <c r="H329" s="0" t="n">
        <f aca="false">IF(G329=" ALARM",1,0)</f>
        <v>0</v>
      </c>
      <c r="I329" s="0" t="s">
        <v>21</v>
      </c>
      <c r="J329" s="0" t="n">
        <f aca="false">IF(I329=" ALARM",1,0)</f>
        <v>0</v>
      </c>
      <c r="K329" s="0" t="s">
        <v>30</v>
      </c>
      <c r="L329" s="0" t="n">
        <f aca="false">IF(K329=" ALARM",1,0)</f>
        <v>0</v>
      </c>
      <c r="M329" s="0" t="s">
        <v>440</v>
      </c>
      <c r="N329" s="0" t="s">
        <v>440</v>
      </c>
      <c r="O329" s="0" t="s">
        <v>1025</v>
      </c>
    </row>
    <row r="330" customFormat="false" ht="12.8" hidden="false" customHeight="false" outlineLevel="0" collapsed="false">
      <c r="A330" s="0" t="n">
        <v>1336046</v>
      </c>
      <c r="B330" s="0" t="s">
        <v>1026</v>
      </c>
      <c r="C330" s="0" t="s">
        <v>17</v>
      </c>
      <c r="D330" s="0" t="s">
        <v>35</v>
      </c>
      <c r="E330" s="0" t="n">
        <v>1643</v>
      </c>
      <c r="F330" s="0" t="s">
        <v>52</v>
      </c>
      <c r="G330" s="0" t="s">
        <v>21</v>
      </c>
      <c r="H330" s="0" t="n">
        <f aca="false">IF(G330=" ALARM",1,0)</f>
        <v>0</v>
      </c>
      <c r="I330" s="0" t="s">
        <v>21</v>
      </c>
      <c r="J330" s="0" t="n">
        <f aca="false">IF(I330=" ALARM",1,0)</f>
        <v>0</v>
      </c>
      <c r="K330" s="0" t="s">
        <v>21</v>
      </c>
      <c r="L330" s="0" t="n">
        <f aca="false">IF(K330=" ALARM",1,0)</f>
        <v>0</v>
      </c>
      <c r="M330" s="0" t="s">
        <v>868</v>
      </c>
      <c r="N330" s="0" t="s">
        <v>868</v>
      </c>
      <c r="O330" s="0" t="s">
        <v>1025</v>
      </c>
    </row>
    <row r="331" customFormat="false" ht="12.8" hidden="false" customHeight="false" outlineLevel="0" collapsed="false">
      <c r="A331" s="0" t="n">
        <v>1336047</v>
      </c>
      <c r="B331" s="0" t="s">
        <v>1027</v>
      </c>
      <c r="C331" s="0" t="s">
        <v>17</v>
      </c>
      <c r="D331" s="0" t="s">
        <v>35</v>
      </c>
      <c r="E331" s="0" t="n">
        <v>1643</v>
      </c>
      <c r="F331" s="0" t="s">
        <v>52</v>
      </c>
      <c r="G331" s="0" t="s">
        <v>21</v>
      </c>
      <c r="H331" s="0" t="n">
        <f aca="false">IF(G331=" ALARM",1,0)</f>
        <v>0</v>
      </c>
      <c r="I331" s="0" t="s">
        <v>21</v>
      </c>
      <c r="J331" s="0" t="n">
        <f aca="false">IF(I331=" ALARM",1,0)</f>
        <v>0</v>
      </c>
      <c r="K331" s="0" t="s">
        <v>21</v>
      </c>
      <c r="L331" s="0" t="n">
        <f aca="false">IF(K331=" ALARM",1,0)</f>
        <v>0</v>
      </c>
      <c r="M331" s="0" t="s">
        <v>868</v>
      </c>
      <c r="N331" s="0" t="s">
        <v>868</v>
      </c>
      <c r="O331" s="0" t="s">
        <v>1025</v>
      </c>
    </row>
    <row r="332" customFormat="false" ht="12.8" hidden="false" customHeight="false" outlineLevel="0" collapsed="false">
      <c r="A332" s="0" t="n">
        <v>1336048</v>
      </c>
      <c r="B332" s="0" t="s">
        <v>1028</v>
      </c>
      <c r="C332" s="0" t="s">
        <v>17</v>
      </c>
      <c r="D332" s="0" t="s">
        <v>35</v>
      </c>
      <c r="E332" s="0" t="n">
        <v>1643</v>
      </c>
      <c r="F332" s="0" t="s">
        <v>52</v>
      </c>
      <c r="G332" s="0" t="s">
        <v>21</v>
      </c>
      <c r="H332" s="0" t="n">
        <f aca="false">IF(G332=" ALARM",1,0)</f>
        <v>0</v>
      </c>
      <c r="I332" s="0" t="s">
        <v>21</v>
      </c>
      <c r="J332" s="0" t="n">
        <f aca="false">IF(I332=" ALARM",1,0)</f>
        <v>0</v>
      </c>
      <c r="K332" s="0" t="s">
        <v>21</v>
      </c>
      <c r="L332" s="0" t="n">
        <f aca="false">IF(K332=" ALARM",1,0)</f>
        <v>0</v>
      </c>
      <c r="M332" s="0" t="s">
        <v>1029</v>
      </c>
      <c r="N332" s="0" t="s">
        <v>1029</v>
      </c>
      <c r="O332" s="0" t="s">
        <v>1025</v>
      </c>
    </row>
    <row r="333" customFormat="false" ht="12.8" hidden="false" customHeight="false" outlineLevel="0" collapsed="false">
      <c r="A333" s="0" t="n">
        <v>1336050</v>
      </c>
      <c r="B333" s="0" t="s">
        <v>1030</v>
      </c>
      <c r="C333" s="0" t="s">
        <v>17</v>
      </c>
      <c r="D333" s="0" t="s">
        <v>35</v>
      </c>
      <c r="E333" s="0" t="n">
        <v>1643</v>
      </c>
      <c r="F333" s="0" t="s">
        <v>52</v>
      </c>
      <c r="G333" s="0" t="s">
        <v>21</v>
      </c>
      <c r="H333" s="0" t="n">
        <f aca="false">IF(G333=" ALARM",1,0)</f>
        <v>0</v>
      </c>
      <c r="I333" s="0" t="s">
        <v>21</v>
      </c>
      <c r="J333" s="0" t="n">
        <f aca="false">IF(I333=" ALARM",1,0)</f>
        <v>0</v>
      </c>
      <c r="K333" s="0" t="s">
        <v>21</v>
      </c>
      <c r="L333" s="0" t="n">
        <f aca="false">IF(K333=" ALARM",1,0)</f>
        <v>0</v>
      </c>
      <c r="M333" s="0" t="s">
        <v>1031</v>
      </c>
      <c r="N333" s="0" t="s">
        <v>1031</v>
      </c>
      <c r="O333" s="0" t="s">
        <v>1025</v>
      </c>
    </row>
    <row r="334" customFormat="false" ht="12.8" hidden="false" customHeight="false" outlineLevel="0" collapsed="false">
      <c r="A334" s="0" t="n">
        <v>1337570</v>
      </c>
      <c r="B334" s="0" t="s">
        <v>1032</v>
      </c>
      <c r="C334" s="0" t="s">
        <v>17</v>
      </c>
      <c r="D334" s="0" t="s">
        <v>35</v>
      </c>
      <c r="E334" s="0" t="n">
        <v>1643</v>
      </c>
      <c r="F334" s="0" t="s">
        <v>52</v>
      </c>
      <c r="G334" s="0" t="s">
        <v>21</v>
      </c>
      <c r="H334" s="0" t="n">
        <f aca="false">IF(G334=" ALARM",1,0)</f>
        <v>0</v>
      </c>
      <c r="I334" s="0" t="s">
        <v>21</v>
      </c>
      <c r="J334" s="0" t="n">
        <f aca="false">IF(I334=" ALARM",1,0)</f>
        <v>0</v>
      </c>
      <c r="K334" s="0" t="s">
        <v>30</v>
      </c>
      <c r="L334" s="0" t="n">
        <f aca="false">IF(K334=" ALARM",1,0)</f>
        <v>0</v>
      </c>
      <c r="M334" s="0" t="s">
        <v>440</v>
      </c>
      <c r="N334" s="0" t="s">
        <v>440</v>
      </c>
      <c r="O334" s="0" t="s">
        <v>1033</v>
      </c>
    </row>
    <row r="335" customFormat="false" ht="12.8" hidden="false" customHeight="false" outlineLevel="0" collapsed="false">
      <c r="A335" s="0" t="n">
        <v>1337576</v>
      </c>
      <c r="B335" s="0" t="s">
        <v>1034</v>
      </c>
      <c r="C335" s="0" t="s">
        <v>17</v>
      </c>
      <c r="D335" s="0" t="s">
        <v>35</v>
      </c>
      <c r="E335" s="0" t="n">
        <v>1643</v>
      </c>
      <c r="F335" s="0" t="s">
        <v>52</v>
      </c>
      <c r="G335" s="0" t="s">
        <v>21</v>
      </c>
      <c r="H335" s="0" t="n">
        <f aca="false">IF(G335=" ALARM",1,0)</f>
        <v>0</v>
      </c>
      <c r="I335" s="0" t="s">
        <v>21</v>
      </c>
      <c r="J335" s="0" t="n">
        <f aca="false">IF(I335=" ALARM",1,0)</f>
        <v>0</v>
      </c>
      <c r="K335" s="0" t="s">
        <v>30</v>
      </c>
      <c r="L335" s="0" t="n">
        <f aca="false">IF(K335=" ALARM",1,0)</f>
        <v>0</v>
      </c>
      <c r="M335" s="0" t="s">
        <v>440</v>
      </c>
      <c r="N335" s="0" t="s">
        <v>440</v>
      </c>
      <c r="O335" s="0" t="s">
        <v>1033</v>
      </c>
    </row>
    <row r="336" customFormat="false" ht="12.8" hidden="false" customHeight="false" outlineLevel="0" collapsed="false">
      <c r="A336" s="0" t="n">
        <v>1337577</v>
      </c>
      <c r="B336" s="0" t="s">
        <v>1035</v>
      </c>
      <c r="C336" s="0" t="s">
        <v>17</v>
      </c>
      <c r="D336" s="0" t="s">
        <v>35</v>
      </c>
      <c r="E336" s="0" t="n">
        <v>1643</v>
      </c>
      <c r="F336" s="0" t="s">
        <v>52</v>
      </c>
      <c r="G336" s="0" t="s">
        <v>21</v>
      </c>
      <c r="H336" s="0" t="n">
        <f aca="false">IF(G336=" ALARM",1,0)</f>
        <v>0</v>
      </c>
      <c r="I336" s="0" t="s">
        <v>21</v>
      </c>
      <c r="J336" s="0" t="n">
        <f aca="false">IF(I336=" ALARM",1,0)</f>
        <v>0</v>
      </c>
      <c r="K336" s="0" t="s">
        <v>30</v>
      </c>
      <c r="L336" s="0" t="n">
        <f aca="false">IF(K336=" ALARM",1,0)</f>
        <v>0</v>
      </c>
      <c r="M336" s="0" t="s">
        <v>440</v>
      </c>
      <c r="N336" s="0" t="s">
        <v>440</v>
      </c>
      <c r="O336" s="0" t="s">
        <v>1033</v>
      </c>
    </row>
    <row r="337" customFormat="false" ht="12.8" hidden="false" customHeight="false" outlineLevel="0" collapsed="false">
      <c r="A337" s="0" t="n">
        <v>1337586</v>
      </c>
      <c r="B337" s="0" t="s">
        <v>1036</v>
      </c>
      <c r="C337" s="0" t="s">
        <v>17</v>
      </c>
      <c r="D337" s="0" t="s">
        <v>35</v>
      </c>
      <c r="E337" s="0" t="n">
        <v>1643</v>
      </c>
      <c r="F337" s="0" t="s">
        <v>52</v>
      </c>
      <c r="G337" s="0" t="s">
        <v>21</v>
      </c>
      <c r="H337" s="0" t="n">
        <f aca="false">IF(G337=" ALARM",1,0)</f>
        <v>0</v>
      </c>
      <c r="I337" s="0" t="s">
        <v>21</v>
      </c>
      <c r="J337" s="0" t="n">
        <f aca="false">IF(I337=" ALARM",1,0)</f>
        <v>0</v>
      </c>
      <c r="K337" s="0" t="s">
        <v>30</v>
      </c>
      <c r="L337" s="0" t="n">
        <f aca="false">IF(K337=" ALARM",1,0)</f>
        <v>0</v>
      </c>
      <c r="M337" s="0" t="s">
        <v>440</v>
      </c>
      <c r="N337" s="0" t="s">
        <v>440</v>
      </c>
      <c r="O337" s="0" t="s">
        <v>1033</v>
      </c>
    </row>
    <row r="338" customFormat="false" ht="12.8" hidden="false" customHeight="false" outlineLevel="0" collapsed="false">
      <c r="A338" s="0" t="n">
        <v>1337593</v>
      </c>
      <c r="B338" s="0" t="s">
        <v>1037</v>
      </c>
      <c r="C338" s="0" t="s">
        <v>17</v>
      </c>
      <c r="D338" s="0" t="s">
        <v>35</v>
      </c>
      <c r="E338" s="0" t="n">
        <v>1643</v>
      </c>
      <c r="F338" s="0" t="s">
        <v>52</v>
      </c>
      <c r="G338" s="0" t="s">
        <v>21</v>
      </c>
      <c r="H338" s="0" t="n">
        <f aca="false">IF(G338=" ALARM",1,0)</f>
        <v>0</v>
      </c>
      <c r="I338" s="0" t="s">
        <v>20</v>
      </c>
      <c r="J338" s="0" t="n">
        <f aca="false">IF(I338=" ALARM",1,0)</f>
        <v>1</v>
      </c>
      <c r="K338" s="0" t="s">
        <v>20</v>
      </c>
      <c r="L338" s="0" t="n">
        <f aca="false">IF(K338=" ALARM",1,0)</f>
        <v>1</v>
      </c>
      <c r="M338" s="0" t="s">
        <v>440</v>
      </c>
      <c r="N338" s="0" t="s">
        <v>1038</v>
      </c>
      <c r="O338" s="0" t="s">
        <v>1039</v>
      </c>
    </row>
    <row r="339" customFormat="false" ht="12.8" hidden="false" customHeight="false" outlineLevel="0" collapsed="false">
      <c r="A339" s="0" t="n">
        <v>1337610</v>
      </c>
      <c r="B339" s="0" t="s">
        <v>1040</v>
      </c>
      <c r="C339" s="0" t="s">
        <v>17</v>
      </c>
      <c r="D339" s="0" t="s">
        <v>35</v>
      </c>
      <c r="E339" s="0" t="n">
        <v>1643</v>
      </c>
      <c r="F339" s="0" t="s">
        <v>52</v>
      </c>
      <c r="G339" s="0" t="s">
        <v>20</v>
      </c>
      <c r="H339" s="0" t="n">
        <f aca="false">IF(G339=" ALARM",1,0)</f>
        <v>1</v>
      </c>
      <c r="I339" s="0" t="s">
        <v>20</v>
      </c>
      <c r="J339" s="0" t="n">
        <f aca="false">IF(I339=" ALARM",1,0)</f>
        <v>1</v>
      </c>
      <c r="K339" s="0" t="s">
        <v>20</v>
      </c>
      <c r="L339" s="0" t="n">
        <f aca="false">IF(K339=" ALARM",1,0)</f>
        <v>1</v>
      </c>
      <c r="M339" s="0" t="s">
        <v>1041</v>
      </c>
      <c r="N339" s="0" t="s">
        <v>1042</v>
      </c>
      <c r="O339" s="0" t="s">
        <v>1043</v>
      </c>
    </row>
    <row r="340" customFormat="false" ht="12.8" hidden="false" customHeight="false" outlineLevel="0" collapsed="false">
      <c r="A340" s="0" t="s">
        <v>1044</v>
      </c>
      <c r="B340" s="0" t="s">
        <v>36</v>
      </c>
      <c r="C340" s="0" t="s">
        <v>36</v>
      </c>
      <c r="D340" s="0" t="s">
        <v>36</v>
      </c>
      <c r="F340" s="0" t="n">
        <v>333</v>
      </c>
      <c r="G340" s="0" t="n">
        <v>333</v>
      </c>
      <c r="I340" s="0" t="n">
        <v>333</v>
      </c>
    </row>
    <row r="341" customFormat="false" ht="12.8" hidden="false" customHeight="false" outlineLevel="0" collapsed="false">
      <c r="A341" s="0" t="s">
        <v>1045</v>
      </c>
      <c r="B341" s="0" t="s">
        <v>36</v>
      </c>
      <c r="C341" s="0" t="s">
        <v>36</v>
      </c>
      <c r="D341" s="0" t="s">
        <v>36</v>
      </c>
      <c r="F341" s="0" t="n">
        <v>237</v>
      </c>
      <c r="G341" s="0" t="n">
        <v>0</v>
      </c>
      <c r="I341" s="0" t="n">
        <v>233</v>
      </c>
    </row>
    <row r="342" customFormat="false" ht="12.8" hidden="false" customHeight="false" outlineLevel="0" collapsed="false">
      <c r="A342" s="0" t="s">
        <v>1046</v>
      </c>
      <c r="B342" s="0" t="s">
        <v>36</v>
      </c>
      <c r="C342" s="0" t="s">
        <v>36</v>
      </c>
      <c r="D342" s="0" t="s">
        <v>36</v>
      </c>
      <c r="F342" s="0" t="n">
        <v>0.71</v>
      </c>
      <c r="G342" s="0" t="n">
        <v>0</v>
      </c>
      <c r="I342" s="0" t="n">
        <v>0.7</v>
      </c>
    </row>
    <row r="343" customFormat="false" ht="12.8" hidden="false" customHeight="false" outlineLevel="0" collapsed="false">
      <c r="A343" s="0" t="s">
        <v>1047</v>
      </c>
      <c r="B343" s="0" t="s">
        <v>36</v>
      </c>
      <c r="C343" s="0" t="s">
        <v>36</v>
      </c>
      <c r="D343" s="0" t="s">
        <v>36</v>
      </c>
      <c r="F343" s="0" t="n">
        <v>189</v>
      </c>
      <c r="G343" s="0" t="n">
        <v>189</v>
      </c>
      <c r="I343" s="0" t="n">
        <v>189</v>
      </c>
    </row>
    <row r="344" customFormat="false" ht="12.8" hidden="false" customHeight="false" outlineLevel="0" collapsed="false">
      <c r="A344" s="0" t="s">
        <v>1048</v>
      </c>
      <c r="B344" s="0" t="s">
        <v>36</v>
      </c>
      <c r="C344" s="0" t="s">
        <v>36</v>
      </c>
      <c r="D344" s="0" t="s">
        <v>36</v>
      </c>
      <c r="F344" s="0" t="n">
        <v>138</v>
      </c>
      <c r="G344" s="0" t="n">
        <v>0</v>
      </c>
      <c r="I344" s="0" t="n">
        <v>148</v>
      </c>
    </row>
    <row r="345" customFormat="false" ht="12.8" hidden="false" customHeight="false" outlineLevel="0" collapsed="false">
      <c r="A345" s="0" t="s">
        <v>1049</v>
      </c>
      <c r="B345" s="0" t="s">
        <v>36</v>
      </c>
      <c r="C345" s="0" t="s">
        <v>36</v>
      </c>
      <c r="D345" s="0" t="s">
        <v>36</v>
      </c>
      <c r="F345" s="0" t="n">
        <v>0.73</v>
      </c>
      <c r="G345" s="0" t="n">
        <v>0</v>
      </c>
      <c r="I345" s="0" t="n">
        <v>0.78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Q3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9.73"/>
    <col collapsed="false" customWidth="true" hidden="false" outlineLevel="0" max="2" min="2" style="0" width="20.22"/>
    <col collapsed="false" customWidth="true" hidden="false" outlineLevel="0" max="3" min="3" style="0" width="8.24"/>
    <col collapsed="false" customWidth="true" hidden="false" outlineLevel="0" max="4" min="4" style="0" width="15.3"/>
    <col collapsed="false" customWidth="true" hidden="false" outlineLevel="0" max="5" min="5" style="0" width="8.24"/>
    <col collapsed="false" customWidth="true" hidden="false" outlineLevel="0" max="6" min="6" style="0" width="12.15"/>
    <col collapsed="false" customWidth="true" hidden="false" outlineLevel="0" max="7" min="7" style="0" width="7.14"/>
    <col collapsed="false" customWidth="true" hidden="false" outlineLevel="0" max="8" min="8" style="0" width="11.03"/>
    <col collapsed="false" customWidth="true" hidden="false" outlineLevel="0" max="9" min="9" style="0" width="7.55"/>
    <col collapsed="false" customWidth="true" hidden="false" outlineLevel="0" max="11" min="10" style="0" width="14.09"/>
    <col collapsed="false" customWidth="true" hidden="false" outlineLevel="0" max="13" min="12" style="0" width="8.67"/>
    <col collapsed="false" customWidth="true" hidden="false" outlineLevel="0" max="14" min="14" style="0" width="14.33"/>
    <col collapsed="false" customWidth="true" hidden="false" outlineLevel="0" max="16" min="15" style="0" width="49.85"/>
    <col collapsed="false" customWidth="true" hidden="false" outlineLevel="0" max="17" min="17" style="0" width="212.05"/>
  </cols>
  <sheetData>
    <row r="1" customFormat="false" ht="12.8" hidden="false" customHeight="false" outlineLevel="0" collapsed="false">
      <c r="J1" s="0" t="s">
        <v>0</v>
      </c>
      <c r="L1" s="0" t="s">
        <v>1</v>
      </c>
      <c r="N1" s="0" t="s">
        <v>2</v>
      </c>
    </row>
    <row r="2" customFormat="false" ht="12.8" hidden="false" customHeight="false" outlineLevel="0" collapsed="false">
      <c r="I2" s="0" t="s">
        <v>3</v>
      </c>
      <c r="J2" s="0" t="n">
        <f aca="false">SUBTOTAL(109,J$7:J$339)</f>
        <v>25</v>
      </c>
      <c r="L2" s="0" t="n">
        <f aca="false">SUBTOTAL(109,L$7:L$339)</f>
        <v>29</v>
      </c>
      <c r="N2" s="0" t="n">
        <f aca="false">SUBTOTAL(109,N$7:N$339)</f>
        <v>30</v>
      </c>
    </row>
    <row r="3" customFormat="false" ht="12.8" hidden="false" customHeight="false" outlineLevel="0" collapsed="false">
      <c r="I3" s="0" t="s">
        <v>4</v>
      </c>
      <c r="J3" s="0" t="n">
        <f aca="false">SUBTOTAL(103,J$7:J$339)</f>
        <v>30</v>
      </c>
      <c r="L3" s="0" t="n">
        <f aca="false">SUBTOTAL(103,L$7:L$339)</f>
        <v>30</v>
      </c>
      <c r="N3" s="0" t="n">
        <f aca="false">SUBTOTAL(103,N$7:N$339)</f>
        <v>30</v>
      </c>
    </row>
    <row r="4" customFormat="false" ht="12.8" hidden="false" customHeight="false" outlineLevel="0" collapsed="false">
      <c r="I4" s="0" t="s">
        <v>5</v>
      </c>
      <c r="J4" s="1" t="n">
        <f aca="false">J2/J3</f>
        <v>0.833333333333333</v>
      </c>
      <c r="L4" s="1" t="n">
        <f aca="false">L2/L3</f>
        <v>0.966666666666667</v>
      </c>
      <c r="N4" s="1" t="n">
        <f aca="false">N2/N3</f>
        <v>1</v>
      </c>
    </row>
    <row r="6" customFormat="false" ht="12.8" hidden="false" customHeight="false" outlineLevel="0" collapsed="false">
      <c r="A6" s="2" t="s">
        <v>6</v>
      </c>
      <c r="B6" s="2" t="s">
        <v>7</v>
      </c>
      <c r="C6" s="2" t="s">
        <v>1050</v>
      </c>
      <c r="D6" s="2" t="s">
        <v>1051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/>
      <c r="K6" s="2" t="s">
        <v>13</v>
      </c>
      <c r="L6" s="2"/>
      <c r="M6" s="2" t="s">
        <v>14</v>
      </c>
      <c r="N6" s="2"/>
      <c r="O6" s="2" t="s">
        <v>12</v>
      </c>
      <c r="P6" s="2" t="s">
        <v>13</v>
      </c>
      <c r="Q6" s="2" t="s">
        <v>15</v>
      </c>
    </row>
    <row r="7" customFormat="false" ht="12.8" hidden="true" customHeight="false" outlineLevel="0" collapsed="false">
      <c r="A7" s="0" t="n">
        <v>407</v>
      </c>
      <c r="B7" s="0" t="s">
        <v>16</v>
      </c>
      <c r="E7" s="0" t="s">
        <v>17</v>
      </c>
      <c r="F7" s="0" t="s">
        <v>18</v>
      </c>
      <c r="G7" s="0" t="n">
        <v>39</v>
      </c>
      <c r="H7" s="0" t="s">
        <v>19</v>
      </c>
      <c r="I7" s="0" t="s">
        <v>20</v>
      </c>
      <c r="J7" s="0" t="n">
        <f aca="false">IF(I7=" ALARM",1,0)</f>
        <v>1</v>
      </c>
      <c r="K7" s="0" t="s">
        <v>20</v>
      </c>
      <c r="L7" s="0" t="n">
        <f aca="false">IF(K7=" ALARM",1,0)</f>
        <v>1</v>
      </c>
      <c r="M7" s="0" t="s">
        <v>21</v>
      </c>
      <c r="N7" s="0" t="n">
        <f aca="false">IF(M7=" ALARM",1,0)</f>
        <v>0</v>
      </c>
      <c r="O7" s="0" t="s">
        <v>22</v>
      </c>
      <c r="P7" s="0" t="s">
        <v>23</v>
      </c>
      <c r="Q7" s="0" t="s">
        <v>24</v>
      </c>
    </row>
    <row r="8" customFormat="false" ht="12.8" hidden="true" customHeight="false" outlineLevel="0" collapsed="false">
      <c r="A8" s="0" t="n">
        <v>764</v>
      </c>
      <c r="B8" s="0" t="s">
        <v>25</v>
      </c>
      <c r="E8" s="0" t="s">
        <v>17</v>
      </c>
      <c r="F8" s="0" t="s">
        <v>18</v>
      </c>
      <c r="G8" s="0" t="n">
        <v>39</v>
      </c>
      <c r="H8" s="0" t="s">
        <v>19</v>
      </c>
      <c r="I8" s="0" t="s">
        <v>20</v>
      </c>
      <c r="J8" s="0" t="n">
        <f aca="false">IF(I8=" ALARM",1,0)</f>
        <v>1</v>
      </c>
      <c r="K8" s="0" t="s">
        <v>20</v>
      </c>
      <c r="L8" s="0" t="n">
        <f aca="false">IF(K8=" ALARM",1,0)</f>
        <v>1</v>
      </c>
      <c r="M8" s="0" t="s">
        <v>20</v>
      </c>
      <c r="N8" s="0" t="n">
        <f aca="false">IF(M8=" ALARM",1,0)</f>
        <v>1</v>
      </c>
      <c r="O8" s="0" t="s">
        <v>26</v>
      </c>
      <c r="P8" s="0" t="s">
        <v>27</v>
      </c>
      <c r="Q8" s="0" t="s">
        <v>28</v>
      </c>
    </row>
    <row r="9" customFormat="false" ht="12.8" hidden="true" customHeight="false" outlineLevel="0" collapsed="false">
      <c r="A9" s="0" t="n">
        <v>4924</v>
      </c>
      <c r="B9" s="0" t="s">
        <v>29</v>
      </c>
      <c r="E9" s="0" t="s">
        <v>17</v>
      </c>
      <c r="F9" s="0" t="s">
        <v>18</v>
      </c>
      <c r="G9" s="0" t="n">
        <v>39</v>
      </c>
      <c r="H9" s="0" t="s">
        <v>19</v>
      </c>
      <c r="I9" s="0" t="s">
        <v>20</v>
      </c>
      <c r="J9" s="0" t="n">
        <f aca="false">IF(I9=" ALARM",1,0)</f>
        <v>1</v>
      </c>
      <c r="K9" s="0" t="s">
        <v>20</v>
      </c>
      <c r="L9" s="0" t="n">
        <f aca="false">IF(K9=" ALARM",1,0)</f>
        <v>1</v>
      </c>
      <c r="M9" s="0" t="s">
        <v>30</v>
      </c>
      <c r="N9" s="0" t="n">
        <f aca="false">IF(M9=" ALARM",1,0)</f>
        <v>0</v>
      </c>
      <c r="O9" s="0" t="s">
        <v>31</v>
      </c>
      <c r="P9" s="0" t="s">
        <v>32</v>
      </c>
      <c r="Q9" s="0" t="s">
        <v>33</v>
      </c>
    </row>
    <row r="10" customFormat="false" ht="12.8" hidden="true" customHeight="false" outlineLevel="0" collapsed="false">
      <c r="A10" s="0" t="n">
        <v>5483</v>
      </c>
      <c r="B10" s="0" t="s">
        <v>34</v>
      </c>
      <c r="E10" s="0" t="s">
        <v>17</v>
      </c>
      <c r="F10" s="0" t="s">
        <v>35</v>
      </c>
      <c r="G10" s="0" t="n">
        <v>39</v>
      </c>
      <c r="H10" s="0" t="s">
        <v>36</v>
      </c>
      <c r="I10" s="0" t="s">
        <v>20</v>
      </c>
      <c r="J10" s="0" t="n">
        <f aca="false">IF(I10=" ALARM",1,0)</f>
        <v>1</v>
      </c>
      <c r="K10" s="0" t="s">
        <v>20</v>
      </c>
      <c r="L10" s="0" t="n">
        <f aca="false">IF(K10=" ALARM",1,0)</f>
        <v>1</v>
      </c>
      <c r="M10" s="0" t="s">
        <v>20</v>
      </c>
      <c r="N10" s="0" t="n">
        <f aca="false">IF(M10=" ALARM",1,0)</f>
        <v>1</v>
      </c>
      <c r="O10" s="0" t="s">
        <v>37</v>
      </c>
      <c r="P10" s="0" t="s">
        <v>38</v>
      </c>
      <c r="Q10" s="0" t="s">
        <v>39</v>
      </c>
    </row>
    <row r="11" customFormat="false" ht="12.8" hidden="true" customHeight="false" outlineLevel="0" collapsed="false">
      <c r="A11" s="0" t="n">
        <v>5486</v>
      </c>
      <c r="B11" s="0" t="s">
        <v>40</v>
      </c>
      <c r="E11" s="0" t="s">
        <v>17</v>
      </c>
      <c r="F11" s="0" t="s">
        <v>35</v>
      </c>
      <c r="G11" s="0" t="n">
        <v>39</v>
      </c>
      <c r="H11" s="0" t="s">
        <v>36</v>
      </c>
      <c r="I11" s="0" t="s">
        <v>20</v>
      </c>
      <c r="J11" s="0" t="n">
        <f aca="false">IF(I11=" ALARM",1,0)</f>
        <v>1</v>
      </c>
      <c r="K11" s="0" t="s">
        <v>20</v>
      </c>
      <c r="L11" s="0" t="n">
        <f aca="false">IF(K11=" ALARM",1,0)</f>
        <v>1</v>
      </c>
      <c r="M11" s="0" t="s">
        <v>30</v>
      </c>
      <c r="N11" s="0" t="n">
        <f aca="false">IF(M11=" ALARM",1,0)</f>
        <v>0</v>
      </c>
      <c r="O11" s="0" t="s">
        <v>41</v>
      </c>
      <c r="P11" s="0" t="s">
        <v>42</v>
      </c>
      <c r="Q11" s="0" t="s">
        <v>39</v>
      </c>
    </row>
    <row r="12" customFormat="false" ht="12.8" hidden="true" customHeight="false" outlineLevel="0" collapsed="false">
      <c r="A12" s="0" t="n">
        <v>5610</v>
      </c>
      <c r="B12" s="0" t="s">
        <v>43</v>
      </c>
      <c r="E12" s="0" t="s">
        <v>17</v>
      </c>
      <c r="F12" s="0" t="s">
        <v>18</v>
      </c>
      <c r="G12" s="0" t="n">
        <v>39</v>
      </c>
      <c r="H12" s="0" t="s">
        <v>36</v>
      </c>
      <c r="I12" s="0" t="s">
        <v>20</v>
      </c>
      <c r="J12" s="0" t="n">
        <f aca="false">IF(I12=" ALARM",1,0)</f>
        <v>1</v>
      </c>
      <c r="K12" s="0" t="s">
        <v>20</v>
      </c>
      <c r="L12" s="0" t="n">
        <f aca="false">IF(K12=" ALARM",1,0)</f>
        <v>1</v>
      </c>
      <c r="M12" s="0" t="s">
        <v>21</v>
      </c>
      <c r="N12" s="0" t="n">
        <f aca="false">IF(M12=" ALARM",1,0)</f>
        <v>0</v>
      </c>
      <c r="O12" s="0" t="s">
        <v>44</v>
      </c>
      <c r="P12" s="0" t="s">
        <v>45</v>
      </c>
      <c r="Q12" s="0" t="s">
        <v>46</v>
      </c>
    </row>
    <row r="13" customFormat="false" ht="12.8" hidden="true" customHeight="false" outlineLevel="0" collapsed="false">
      <c r="A13" s="0" t="n">
        <v>5705</v>
      </c>
      <c r="B13" s="0" t="s">
        <v>47</v>
      </c>
      <c r="E13" s="0" t="s">
        <v>17</v>
      </c>
      <c r="F13" s="0" t="s">
        <v>18</v>
      </c>
      <c r="G13" s="0" t="n">
        <v>39</v>
      </c>
      <c r="H13" s="0" t="s">
        <v>36</v>
      </c>
      <c r="I13" s="0" t="s">
        <v>20</v>
      </c>
      <c r="J13" s="0" t="n">
        <f aca="false">IF(I13=" ALARM",1,0)</f>
        <v>1</v>
      </c>
      <c r="K13" s="0" t="s">
        <v>20</v>
      </c>
      <c r="L13" s="0" t="n">
        <f aca="false">IF(K13=" ALARM",1,0)</f>
        <v>1</v>
      </c>
      <c r="M13" s="0" t="s">
        <v>21</v>
      </c>
      <c r="N13" s="0" t="n">
        <f aca="false">IF(M13=" ALARM",1,0)</f>
        <v>0</v>
      </c>
      <c r="O13" s="0" t="s">
        <v>48</v>
      </c>
      <c r="P13" s="0" t="s">
        <v>49</v>
      </c>
      <c r="Q13" s="0" t="s">
        <v>50</v>
      </c>
    </row>
    <row r="14" customFormat="false" ht="12.8" hidden="true" customHeight="false" outlineLevel="0" collapsed="false">
      <c r="A14" s="0" t="n">
        <v>6897</v>
      </c>
      <c r="B14" s="0" t="s">
        <v>51</v>
      </c>
      <c r="E14" s="0" t="s">
        <v>17</v>
      </c>
      <c r="F14" s="0" t="s">
        <v>18</v>
      </c>
      <c r="G14" s="0" t="n">
        <v>39</v>
      </c>
      <c r="H14" s="0" t="s">
        <v>52</v>
      </c>
      <c r="I14" s="0" t="s">
        <v>20</v>
      </c>
      <c r="J14" s="0" t="n">
        <f aca="false">IF(I14=" ALARM",1,0)</f>
        <v>1</v>
      </c>
      <c r="K14" s="0" t="s">
        <v>20</v>
      </c>
      <c r="L14" s="0" t="n">
        <f aca="false">IF(K14=" ALARM",1,0)</f>
        <v>1</v>
      </c>
      <c r="M14" s="0" t="s">
        <v>30</v>
      </c>
      <c r="N14" s="0" t="n">
        <f aca="false">IF(M14=" ALARM",1,0)</f>
        <v>0</v>
      </c>
      <c r="O14" s="0" t="s">
        <v>53</v>
      </c>
      <c r="P14" s="0" t="s">
        <v>54</v>
      </c>
      <c r="Q14" s="0" t="s">
        <v>55</v>
      </c>
    </row>
    <row r="15" customFormat="false" ht="12.8" hidden="true" customHeight="false" outlineLevel="0" collapsed="false">
      <c r="A15" s="0" t="n">
        <v>7775</v>
      </c>
      <c r="B15" s="0" t="s">
        <v>56</v>
      </c>
      <c r="E15" s="0" t="s">
        <v>17</v>
      </c>
      <c r="F15" s="0" t="s">
        <v>35</v>
      </c>
      <c r="G15" s="0" t="n">
        <v>39</v>
      </c>
      <c r="H15" s="0" t="s">
        <v>52</v>
      </c>
      <c r="I15" s="0" t="s">
        <v>20</v>
      </c>
      <c r="J15" s="0" t="n">
        <f aca="false">IF(I15=" ALARM",1,0)</f>
        <v>1</v>
      </c>
      <c r="K15" s="0" t="s">
        <v>20</v>
      </c>
      <c r="L15" s="0" t="n">
        <f aca="false">IF(K15=" ALARM",1,0)</f>
        <v>1</v>
      </c>
      <c r="M15" s="0" t="s">
        <v>21</v>
      </c>
      <c r="N15" s="0" t="n">
        <f aca="false">IF(M15=" ALARM",1,0)</f>
        <v>0</v>
      </c>
      <c r="O15" s="0" t="s">
        <v>57</v>
      </c>
      <c r="P15" s="0" t="s">
        <v>58</v>
      </c>
      <c r="Q15" s="0" t="s">
        <v>59</v>
      </c>
    </row>
    <row r="16" customFormat="false" ht="12.8" hidden="true" customHeight="false" outlineLevel="0" collapsed="false">
      <c r="A16" s="0" t="n">
        <v>7772</v>
      </c>
      <c r="B16" s="0" t="s">
        <v>60</v>
      </c>
      <c r="E16" s="0" t="s">
        <v>17</v>
      </c>
      <c r="F16" s="0" t="s">
        <v>18</v>
      </c>
      <c r="G16" s="0" t="n">
        <v>39</v>
      </c>
      <c r="H16" s="0" t="s">
        <v>52</v>
      </c>
      <c r="I16" s="0" t="s">
        <v>20</v>
      </c>
      <c r="J16" s="0" t="n">
        <f aca="false">IF(I16=" ALARM",1,0)</f>
        <v>1</v>
      </c>
      <c r="K16" s="0" t="s">
        <v>20</v>
      </c>
      <c r="L16" s="0" t="n">
        <f aca="false">IF(K16=" ALARM",1,0)</f>
        <v>1</v>
      </c>
      <c r="M16" s="0" t="s">
        <v>30</v>
      </c>
      <c r="N16" s="0" t="n">
        <f aca="false">IF(M16=" ALARM",1,0)</f>
        <v>0</v>
      </c>
      <c r="O16" s="0" t="s">
        <v>61</v>
      </c>
      <c r="P16" s="0" t="s">
        <v>62</v>
      </c>
      <c r="Q16" s="0" t="s">
        <v>63</v>
      </c>
    </row>
    <row r="17" customFormat="false" ht="12.8" hidden="true" customHeight="false" outlineLevel="0" collapsed="false">
      <c r="A17" s="0" t="n">
        <v>8800</v>
      </c>
      <c r="B17" s="0" t="s">
        <v>64</v>
      </c>
      <c r="E17" s="0" t="s">
        <v>17</v>
      </c>
      <c r="F17" s="0" t="s">
        <v>18</v>
      </c>
      <c r="G17" s="0" t="n">
        <v>39</v>
      </c>
      <c r="H17" s="0" t="s">
        <v>52</v>
      </c>
      <c r="I17" s="0" t="s">
        <v>20</v>
      </c>
      <c r="J17" s="0" t="n">
        <f aca="false">IF(I17=" ALARM",1,0)</f>
        <v>1</v>
      </c>
      <c r="K17" s="0" t="s">
        <v>20</v>
      </c>
      <c r="L17" s="0" t="n">
        <f aca="false">IF(K17=" ALARM",1,0)</f>
        <v>1</v>
      </c>
      <c r="M17" s="0" t="s">
        <v>30</v>
      </c>
      <c r="N17" s="0" t="n">
        <f aca="false">IF(M17=" ALARM",1,0)</f>
        <v>0</v>
      </c>
      <c r="O17" s="0" t="s">
        <v>65</v>
      </c>
      <c r="P17" s="0" t="s">
        <v>66</v>
      </c>
      <c r="Q17" s="0" t="s">
        <v>67</v>
      </c>
    </row>
    <row r="18" customFormat="false" ht="12.8" hidden="true" customHeight="false" outlineLevel="0" collapsed="false">
      <c r="A18" s="0" t="n">
        <v>11587</v>
      </c>
      <c r="B18" s="0" t="s">
        <v>68</v>
      </c>
      <c r="E18" s="0" t="s">
        <v>17</v>
      </c>
      <c r="F18" s="0" t="s">
        <v>18</v>
      </c>
      <c r="G18" s="0" t="n">
        <v>39</v>
      </c>
      <c r="H18" s="0" t="s">
        <v>52</v>
      </c>
      <c r="I18" s="0" t="s">
        <v>21</v>
      </c>
      <c r="J18" s="0" t="n">
        <f aca="false">IF(I18=" ALARM",1,0)</f>
        <v>0</v>
      </c>
      <c r="K18" s="0" t="s">
        <v>20</v>
      </c>
      <c r="L18" s="0" t="n">
        <f aca="false">IF(K18=" ALARM",1,0)</f>
        <v>1</v>
      </c>
      <c r="M18" s="0" t="s">
        <v>21</v>
      </c>
      <c r="N18" s="0" t="n">
        <f aca="false">IF(M18=" ALARM",1,0)</f>
        <v>0</v>
      </c>
      <c r="O18" s="0" t="s">
        <v>69</v>
      </c>
      <c r="P18" s="0" t="s">
        <v>70</v>
      </c>
      <c r="Q18" s="0" t="s">
        <v>71</v>
      </c>
    </row>
    <row r="19" customFormat="false" ht="12.8" hidden="true" customHeight="false" outlineLevel="0" collapsed="false">
      <c r="A19" s="0" t="n">
        <v>11591</v>
      </c>
      <c r="B19" s="0" t="s">
        <v>72</v>
      </c>
      <c r="E19" s="0" t="s">
        <v>17</v>
      </c>
      <c r="F19" s="0" t="s">
        <v>18</v>
      </c>
      <c r="G19" s="0" t="n">
        <v>39</v>
      </c>
      <c r="H19" s="0" t="s">
        <v>52</v>
      </c>
      <c r="I19" s="0" t="s">
        <v>20</v>
      </c>
      <c r="J19" s="0" t="n">
        <f aca="false">IF(I19=" ALARM",1,0)</f>
        <v>1</v>
      </c>
      <c r="K19" s="0" t="s">
        <v>20</v>
      </c>
      <c r="L19" s="0" t="n">
        <f aca="false">IF(K19=" ALARM",1,0)</f>
        <v>1</v>
      </c>
      <c r="M19" s="0" t="s">
        <v>21</v>
      </c>
      <c r="N19" s="0" t="n">
        <f aca="false">IF(M19=" ALARM",1,0)</f>
        <v>0</v>
      </c>
      <c r="O19" s="0" t="s">
        <v>73</v>
      </c>
      <c r="P19" s="0" t="s">
        <v>74</v>
      </c>
      <c r="Q19" s="0" t="s">
        <v>75</v>
      </c>
    </row>
    <row r="20" customFormat="false" ht="12.8" hidden="true" customHeight="false" outlineLevel="0" collapsed="false">
      <c r="A20" s="0" t="n">
        <v>15923</v>
      </c>
      <c r="B20" s="0" t="s">
        <v>76</v>
      </c>
      <c r="E20" s="0" t="s">
        <v>17</v>
      </c>
      <c r="F20" s="0" t="s">
        <v>18</v>
      </c>
      <c r="G20" s="0" t="n">
        <v>39</v>
      </c>
      <c r="H20" s="0" t="s">
        <v>52</v>
      </c>
      <c r="I20" s="0" t="s">
        <v>20</v>
      </c>
      <c r="J20" s="0" t="n">
        <f aca="false">IF(I20=" ALARM",1,0)</f>
        <v>1</v>
      </c>
      <c r="K20" s="0" t="s">
        <v>20</v>
      </c>
      <c r="L20" s="0" t="n">
        <f aca="false">IF(K20=" ALARM",1,0)</f>
        <v>1</v>
      </c>
      <c r="M20" s="0" t="s">
        <v>30</v>
      </c>
      <c r="N20" s="0" t="n">
        <f aca="false">IF(M20=" ALARM",1,0)</f>
        <v>0</v>
      </c>
      <c r="O20" s="0" t="s">
        <v>77</v>
      </c>
      <c r="P20" s="0" t="s">
        <v>78</v>
      </c>
      <c r="Q20" s="0" t="s">
        <v>79</v>
      </c>
    </row>
    <row r="21" customFormat="false" ht="12.8" hidden="true" customHeight="false" outlineLevel="0" collapsed="false">
      <c r="A21" s="0" t="n">
        <v>17219</v>
      </c>
      <c r="B21" s="0" t="s">
        <v>80</v>
      </c>
      <c r="E21" s="0" t="s">
        <v>17</v>
      </c>
      <c r="F21" s="0" t="s">
        <v>35</v>
      </c>
      <c r="G21" s="0" t="n">
        <v>39</v>
      </c>
      <c r="H21" s="0" t="s">
        <v>52</v>
      </c>
      <c r="I21" s="0" t="s">
        <v>20</v>
      </c>
      <c r="J21" s="0" t="n">
        <f aca="false">IF(I21=" ALARM",1,0)</f>
        <v>1</v>
      </c>
      <c r="K21" s="0" t="s">
        <v>20</v>
      </c>
      <c r="L21" s="0" t="n">
        <f aca="false">IF(K21=" ALARM",1,0)</f>
        <v>1</v>
      </c>
      <c r="M21" s="0" t="s">
        <v>20</v>
      </c>
      <c r="N21" s="0" t="n">
        <f aca="false">IF(M21=" ALARM",1,0)</f>
        <v>1</v>
      </c>
      <c r="O21" s="0" t="s">
        <v>81</v>
      </c>
      <c r="P21" s="0" t="s">
        <v>82</v>
      </c>
      <c r="Q21" s="0" t="s">
        <v>83</v>
      </c>
    </row>
    <row r="22" customFormat="false" ht="12.8" hidden="true" customHeight="false" outlineLevel="0" collapsed="false">
      <c r="A22" s="0" t="n">
        <v>1046</v>
      </c>
      <c r="B22" s="0" t="s">
        <v>84</v>
      </c>
      <c r="E22" s="0" t="s">
        <v>17</v>
      </c>
      <c r="F22" s="0" t="s">
        <v>85</v>
      </c>
      <c r="G22" s="0" t="n">
        <v>45</v>
      </c>
      <c r="H22" s="0" t="s">
        <v>19</v>
      </c>
      <c r="I22" s="0" t="s">
        <v>21</v>
      </c>
      <c r="J22" s="0" t="n">
        <f aca="false">IF(I22=" ALARM",1,0)</f>
        <v>0</v>
      </c>
      <c r="K22" s="0" t="s">
        <v>21</v>
      </c>
      <c r="L22" s="0" t="n">
        <f aca="false">IF(K22=" ALARM",1,0)</f>
        <v>0</v>
      </c>
      <c r="M22" s="0" t="s">
        <v>21</v>
      </c>
      <c r="N22" s="0" t="n">
        <f aca="false">IF(M22=" ALARM",1,0)</f>
        <v>0</v>
      </c>
      <c r="O22" s="0" t="s">
        <v>86</v>
      </c>
      <c r="P22" s="0" t="s">
        <v>86</v>
      </c>
    </row>
    <row r="23" customFormat="false" ht="12.8" hidden="true" customHeight="false" outlineLevel="0" collapsed="false">
      <c r="A23" s="0" t="n">
        <v>5031</v>
      </c>
      <c r="B23" s="0" t="s">
        <v>87</v>
      </c>
      <c r="E23" s="0" t="s">
        <v>17</v>
      </c>
      <c r="F23" s="0" t="s">
        <v>85</v>
      </c>
      <c r="G23" s="0" t="n">
        <v>45</v>
      </c>
      <c r="H23" s="0" t="s">
        <v>19</v>
      </c>
      <c r="I23" s="0" t="s">
        <v>20</v>
      </c>
      <c r="J23" s="0" t="n">
        <f aca="false">IF(I23=" ALARM",1,0)</f>
        <v>1</v>
      </c>
      <c r="K23" s="0" t="s">
        <v>20</v>
      </c>
      <c r="L23" s="0" t="n">
        <f aca="false">IF(K23=" ALARM",1,0)</f>
        <v>1</v>
      </c>
      <c r="M23" s="0" t="s">
        <v>20</v>
      </c>
      <c r="N23" s="0" t="n">
        <f aca="false">IF(M23=" ALARM",1,0)</f>
        <v>1</v>
      </c>
      <c r="O23" s="0" t="s">
        <v>88</v>
      </c>
      <c r="P23" s="0" t="s">
        <v>89</v>
      </c>
    </row>
    <row r="24" customFormat="false" ht="12.8" hidden="true" customHeight="false" outlineLevel="0" collapsed="false">
      <c r="A24" s="0" t="n">
        <v>5087</v>
      </c>
      <c r="B24" s="0" t="s">
        <v>90</v>
      </c>
      <c r="E24" s="0" t="s">
        <v>17</v>
      </c>
      <c r="F24" s="0" t="s">
        <v>85</v>
      </c>
      <c r="G24" s="0" t="n">
        <v>45</v>
      </c>
      <c r="H24" s="0" t="s">
        <v>19</v>
      </c>
      <c r="I24" s="0" t="s">
        <v>20</v>
      </c>
      <c r="J24" s="0" t="n">
        <f aca="false">IF(I24=" ALARM",1,0)</f>
        <v>1</v>
      </c>
      <c r="K24" s="0" t="s">
        <v>20</v>
      </c>
      <c r="L24" s="0" t="n">
        <f aca="false">IF(K24=" ALARM",1,0)</f>
        <v>1</v>
      </c>
      <c r="M24" s="0" t="s">
        <v>21</v>
      </c>
      <c r="N24" s="0" t="n">
        <f aca="false">IF(M24=" ALARM",1,0)</f>
        <v>0</v>
      </c>
      <c r="O24" s="0" t="s">
        <v>91</v>
      </c>
      <c r="P24" s="0" t="s">
        <v>92</v>
      </c>
    </row>
    <row r="25" customFormat="false" ht="12.8" hidden="true" customHeight="false" outlineLevel="0" collapsed="false">
      <c r="A25" s="0" t="n">
        <v>5254</v>
      </c>
      <c r="B25" s="0" t="s">
        <v>93</v>
      </c>
      <c r="E25" s="0" t="s">
        <v>17</v>
      </c>
      <c r="F25" s="0" t="s">
        <v>35</v>
      </c>
      <c r="G25" s="0" t="n">
        <v>45</v>
      </c>
      <c r="H25" s="0" t="s">
        <v>36</v>
      </c>
      <c r="I25" s="0" t="s">
        <v>30</v>
      </c>
      <c r="J25" s="0" t="n">
        <f aca="false">IF(I25=" ALARM",1,0)</f>
        <v>0</v>
      </c>
      <c r="K25" s="0" t="s">
        <v>20</v>
      </c>
      <c r="L25" s="0" t="n">
        <f aca="false">IF(K25=" ALARM",1,0)</f>
        <v>1</v>
      </c>
      <c r="M25" s="0" t="s">
        <v>20</v>
      </c>
      <c r="N25" s="0" t="n">
        <f aca="false">IF(M25=" ALARM",1,0)</f>
        <v>1</v>
      </c>
      <c r="O25" s="0" t="s">
        <v>94</v>
      </c>
      <c r="P25" s="0" t="s">
        <v>95</v>
      </c>
      <c r="Q25" s="0" t="s">
        <v>39</v>
      </c>
    </row>
    <row r="26" customFormat="false" ht="12.8" hidden="true" customHeight="false" outlineLevel="0" collapsed="false">
      <c r="A26" s="0" t="n">
        <v>5288</v>
      </c>
      <c r="B26" s="0" t="s">
        <v>96</v>
      </c>
      <c r="E26" s="0" t="s">
        <v>17</v>
      </c>
      <c r="F26" s="0" t="s">
        <v>97</v>
      </c>
      <c r="G26" s="0" t="n">
        <v>45</v>
      </c>
      <c r="H26" s="0" t="s">
        <v>36</v>
      </c>
      <c r="I26" s="0" t="s">
        <v>20</v>
      </c>
      <c r="J26" s="0" t="n">
        <f aca="false">IF(I26=" ALARM",1,0)</f>
        <v>1</v>
      </c>
      <c r="K26" s="0" t="s">
        <v>20</v>
      </c>
      <c r="L26" s="0" t="n">
        <f aca="false">IF(K26=" ALARM",1,0)</f>
        <v>1</v>
      </c>
      <c r="M26" s="0" t="s">
        <v>20</v>
      </c>
      <c r="N26" s="0" t="n">
        <f aca="false">IF(M26=" ALARM",1,0)</f>
        <v>1</v>
      </c>
      <c r="O26" s="0" t="s">
        <v>98</v>
      </c>
      <c r="P26" s="0" t="s">
        <v>99</v>
      </c>
      <c r="Q26" s="0" t="s">
        <v>39</v>
      </c>
    </row>
    <row r="27" customFormat="false" ht="12.8" hidden="true" customHeight="false" outlineLevel="0" collapsed="false">
      <c r="A27" s="0" t="n">
        <v>5580</v>
      </c>
      <c r="B27" s="0" t="s">
        <v>100</v>
      </c>
      <c r="E27" s="0" t="s">
        <v>17</v>
      </c>
      <c r="F27" s="0" t="s">
        <v>35</v>
      </c>
      <c r="G27" s="0" t="n">
        <v>45</v>
      </c>
      <c r="H27" s="0" t="s">
        <v>36</v>
      </c>
      <c r="I27" s="0" t="s">
        <v>20</v>
      </c>
      <c r="J27" s="0" t="n">
        <f aca="false">IF(I27=" ALARM",1,0)</f>
        <v>1</v>
      </c>
      <c r="K27" s="0" t="s">
        <v>20</v>
      </c>
      <c r="L27" s="0" t="n">
        <f aca="false">IF(K27=" ALARM",1,0)</f>
        <v>1</v>
      </c>
      <c r="M27" s="0" t="s">
        <v>20</v>
      </c>
      <c r="N27" s="0" t="n">
        <f aca="false">IF(M27=" ALARM",1,0)</f>
        <v>1</v>
      </c>
      <c r="O27" s="0" t="s">
        <v>101</v>
      </c>
      <c r="P27" s="0" t="s">
        <v>102</v>
      </c>
      <c r="Q27" s="0" t="s">
        <v>39</v>
      </c>
    </row>
    <row r="28" customFormat="false" ht="12.8" hidden="true" customHeight="false" outlineLevel="0" collapsed="false">
      <c r="A28" s="0" t="n">
        <v>5635</v>
      </c>
      <c r="B28" s="0" t="s">
        <v>103</v>
      </c>
      <c r="E28" s="0" t="s">
        <v>17</v>
      </c>
      <c r="F28" s="0" t="s">
        <v>97</v>
      </c>
      <c r="G28" s="0" t="n">
        <v>45</v>
      </c>
      <c r="H28" s="0" t="s">
        <v>36</v>
      </c>
      <c r="I28" s="0" t="s">
        <v>20</v>
      </c>
      <c r="J28" s="0" t="n">
        <f aca="false">IF(I28=" ALARM",1,0)</f>
        <v>1</v>
      </c>
      <c r="K28" s="0" t="s">
        <v>20</v>
      </c>
      <c r="L28" s="0" t="n">
        <f aca="false">IF(K28=" ALARM",1,0)</f>
        <v>1</v>
      </c>
      <c r="M28" s="0" t="s">
        <v>20</v>
      </c>
      <c r="N28" s="0" t="n">
        <f aca="false">IF(M28=" ALARM",1,0)</f>
        <v>1</v>
      </c>
      <c r="O28" s="0" t="s">
        <v>104</v>
      </c>
      <c r="P28" s="0" t="s">
        <v>105</v>
      </c>
      <c r="Q28" s="0" t="s">
        <v>39</v>
      </c>
    </row>
    <row r="29" customFormat="false" ht="12.8" hidden="true" customHeight="false" outlineLevel="0" collapsed="false">
      <c r="A29" s="0" t="n">
        <v>5637</v>
      </c>
      <c r="B29" s="0" t="s">
        <v>106</v>
      </c>
      <c r="E29" s="0" t="s">
        <v>17</v>
      </c>
      <c r="F29" s="0" t="s">
        <v>35</v>
      </c>
      <c r="G29" s="0" t="n">
        <v>45</v>
      </c>
      <c r="H29" s="0" t="s">
        <v>36</v>
      </c>
      <c r="I29" s="0" t="s">
        <v>20</v>
      </c>
      <c r="J29" s="0" t="n">
        <f aca="false">IF(I29=" ALARM",1,0)</f>
        <v>1</v>
      </c>
      <c r="K29" s="0" t="s">
        <v>20</v>
      </c>
      <c r="L29" s="0" t="n">
        <f aca="false">IF(K29=" ALARM",1,0)</f>
        <v>1</v>
      </c>
      <c r="M29" s="0" t="s">
        <v>20</v>
      </c>
      <c r="N29" s="0" t="n">
        <f aca="false">IF(M29=" ALARM",1,0)</f>
        <v>1</v>
      </c>
      <c r="O29" s="0" t="s">
        <v>107</v>
      </c>
      <c r="P29" s="0" t="s">
        <v>108</v>
      </c>
      <c r="Q29" s="0" t="s">
        <v>39</v>
      </c>
    </row>
    <row r="30" customFormat="false" ht="12.8" hidden="true" customHeight="false" outlineLevel="0" collapsed="false">
      <c r="A30" s="0" t="n">
        <v>5721</v>
      </c>
      <c r="B30" s="0" t="s">
        <v>109</v>
      </c>
      <c r="E30" s="0" t="s">
        <v>17</v>
      </c>
      <c r="F30" s="0" t="s">
        <v>97</v>
      </c>
      <c r="G30" s="0" t="n">
        <v>45</v>
      </c>
      <c r="H30" s="0" t="s">
        <v>36</v>
      </c>
      <c r="I30" s="0" t="s">
        <v>20</v>
      </c>
      <c r="J30" s="0" t="n">
        <f aca="false">IF(I30=" ALARM",1,0)</f>
        <v>1</v>
      </c>
      <c r="K30" s="0" t="s">
        <v>20</v>
      </c>
      <c r="L30" s="0" t="n">
        <f aca="false">IF(K30=" ALARM",1,0)</f>
        <v>1</v>
      </c>
      <c r="M30" s="0" t="s">
        <v>21</v>
      </c>
      <c r="N30" s="0" t="n">
        <f aca="false">IF(M30=" ALARM",1,0)</f>
        <v>0</v>
      </c>
      <c r="O30" s="0" t="s">
        <v>110</v>
      </c>
      <c r="P30" s="0" t="s">
        <v>111</v>
      </c>
      <c r="Q30" s="0" t="s">
        <v>39</v>
      </c>
    </row>
    <row r="31" customFormat="false" ht="12.8" hidden="true" customHeight="false" outlineLevel="0" collapsed="false">
      <c r="A31" s="0" t="n">
        <v>5745</v>
      </c>
      <c r="B31" s="0" t="s">
        <v>112</v>
      </c>
      <c r="E31" s="0" t="s">
        <v>17</v>
      </c>
      <c r="F31" s="0" t="s">
        <v>35</v>
      </c>
      <c r="G31" s="0" t="n">
        <v>45</v>
      </c>
      <c r="H31" s="0" t="s">
        <v>36</v>
      </c>
      <c r="I31" s="0" t="s">
        <v>20</v>
      </c>
      <c r="J31" s="0" t="n">
        <f aca="false">IF(I31=" ALARM",1,0)</f>
        <v>1</v>
      </c>
      <c r="K31" s="0" t="s">
        <v>20</v>
      </c>
      <c r="L31" s="0" t="n">
        <f aca="false">IF(K31=" ALARM",1,0)</f>
        <v>1</v>
      </c>
      <c r="M31" s="0" t="s">
        <v>20</v>
      </c>
      <c r="N31" s="0" t="n">
        <f aca="false">IF(M31=" ALARM",1,0)</f>
        <v>1</v>
      </c>
      <c r="O31" s="0" t="s">
        <v>113</v>
      </c>
      <c r="P31" s="0" t="s">
        <v>114</v>
      </c>
      <c r="Q31" s="0" t="s">
        <v>39</v>
      </c>
    </row>
    <row r="32" customFormat="false" ht="12.8" hidden="true" customHeight="false" outlineLevel="0" collapsed="false">
      <c r="A32" s="0" t="n">
        <v>5891</v>
      </c>
      <c r="B32" s="0" t="s">
        <v>115</v>
      </c>
      <c r="E32" s="0" t="s">
        <v>17</v>
      </c>
      <c r="F32" s="0" t="s">
        <v>35</v>
      </c>
      <c r="G32" s="0" t="n">
        <v>45</v>
      </c>
      <c r="H32" s="0" t="s">
        <v>52</v>
      </c>
      <c r="I32" s="0" t="s">
        <v>20</v>
      </c>
      <c r="J32" s="0" t="n">
        <f aca="false">IF(I32=" ALARM",1,0)</f>
        <v>1</v>
      </c>
      <c r="K32" s="0" t="s">
        <v>20</v>
      </c>
      <c r="L32" s="0" t="n">
        <f aca="false">IF(K32=" ALARM",1,0)</f>
        <v>1</v>
      </c>
      <c r="M32" s="0" t="s">
        <v>30</v>
      </c>
      <c r="N32" s="0" t="n">
        <f aca="false">IF(M32=" ALARM",1,0)</f>
        <v>0</v>
      </c>
      <c r="O32" s="0" t="s">
        <v>116</v>
      </c>
      <c r="P32" s="0" t="s">
        <v>117</v>
      </c>
    </row>
    <row r="33" customFormat="false" ht="12.8" hidden="true" customHeight="false" outlineLevel="0" collapsed="false">
      <c r="A33" s="0" t="n">
        <v>5889</v>
      </c>
      <c r="B33" s="0" t="s">
        <v>118</v>
      </c>
      <c r="E33" s="0" t="s">
        <v>17</v>
      </c>
      <c r="F33" s="0" t="s">
        <v>35</v>
      </c>
      <c r="G33" s="0" t="n">
        <v>45</v>
      </c>
      <c r="H33" s="0" t="s">
        <v>52</v>
      </c>
      <c r="I33" s="0" t="s">
        <v>21</v>
      </c>
      <c r="J33" s="0" t="n">
        <f aca="false">IF(I33=" ALARM",1,0)</f>
        <v>0</v>
      </c>
      <c r="K33" s="0" t="s">
        <v>21</v>
      </c>
      <c r="L33" s="0" t="n">
        <f aca="false">IF(K33=" ALARM",1,0)</f>
        <v>0</v>
      </c>
      <c r="M33" s="0" t="s">
        <v>20</v>
      </c>
      <c r="N33" s="0" t="n">
        <f aca="false">IF(M33=" ALARM",1,0)</f>
        <v>1</v>
      </c>
      <c r="O33" s="0" t="s">
        <v>119</v>
      </c>
      <c r="P33" s="0" t="s">
        <v>119</v>
      </c>
    </row>
    <row r="34" customFormat="false" ht="12.8" hidden="true" customHeight="false" outlineLevel="0" collapsed="false">
      <c r="A34" s="0" t="n">
        <v>6476</v>
      </c>
      <c r="B34" s="0" t="s">
        <v>120</v>
      </c>
      <c r="E34" s="0" t="s">
        <v>17</v>
      </c>
      <c r="F34" s="0" t="s">
        <v>35</v>
      </c>
      <c r="G34" s="0" t="n">
        <v>45</v>
      </c>
      <c r="H34" s="0" t="s">
        <v>36</v>
      </c>
      <c r="I34" s="0" t="s">
        <v>20</v>
      </c>
      <c r="J34" s="0" t="n">
        <f aca="false">IF(I34=" ALARM",1,0)</f>
        <v>1</v>
      </c>
      <c r="K34" s="0" t="s">
        <v>20</v>
      </c>
      <c r="L34" s="0" t="n">
        <f aca="false">IF(K34=" ALARM",1,0)</f>
        <v>1</v>
      </c>
      <c r="M34" s="0" t="s">
        <v>20</v>
      </c>
      <c r="N34" s="0" t="n">
        <f aca="false">IF(M34=" ALARM",1,0)</f>
        <v>1</v>
      </c>
      <c r="O34" s="0" t="s">
        <v>121</v>
      </c>
      <c r="P34" s="0" t="s">
        <v>122</v>
      </c>
      <c r="Q34" s="0" t="s">
        <v>39</v>
      </c>
    </row>
    <row r="35" customFormat="false" ht="12.8" hidden="true" customHeight="false" outlineLevel="0" collapsed="false">
      <c r="A35" s="0" t="n">
        <v>6587</v>
      </c>
      <c r="B35" s="0" t="s">
        <v>123</v>
      </c>
      <c r="E35" s="0" t="s">
        <v>17</v>
      </c>
      <c r="F35" s="0" t="s">
        <v>97</v>
      </c>
      <c r="G35" s="0" t="n">
        <v>45</v>
      </c>
      <c r="H35" s="0" t="s">
        <v>36</v>
      </c>
      <c r="I35" s="0" t="s">
        <v>20</v>
      </c>
      <c r="J35" s="0" t="n">
        <f aca="false">IF(I35=" ALARM",1,0)</f>
        <v>1</v>
      </c>
      <c r="K35" s="0" t="s">
        <v>20</v>
      </c>
      <c r="L35" s="0" t="n">
        <f aca="false">IF(K35=" ALARM",1,0)</f>
        <v>1</v>
      </c>
      <c r="M35" s="0" t="s">
        <v>20</v>
      </c>
      <c r="N35" s="0" t="n">
        <f aca="false">IF(M35=" ALARM",1,0)</f>
        <v>1</v>
      </c>
      <c r="O35" s="0" t="s">
        <v>124</v>
      </c>
      <c r="P35" s="0" t="s">
        <v>125</v>
      </c>
      <c r="Q35" s="0" t="s">
        <v>39</v>
      </c>
    </row>
    <row r="36" customFormat="false" ht="12.8" hidden="true" customHeight="false" outlineLevel="0" collapsed="false">
      <c r="A36" s="0" t="n">
        <v>6590</v>
      </c>
      <c r="B36" s="0" t="s">
        <v>126</v>
      </c>
      <c r="E36" s="0" t="s">
        <v>17</v>
      </c>
      <c r="F36" s="0" t="s">
        <v>35</v>
      </c>
      <c r="G36" s="0" t="n">
        <v>45</v>
      </c>
      <c r="H36" s="0" t="s">
        <v>36</v>
      </c>
      <c r="I36" s="0" t="s">
        <v>20</v>
      </c>
      <c r="J36" s="0" t="n">
        <f aca="false">IF(I36=" ALARM",1,0)</f>
        <v>1</v>
      </c>
      <c r="K36" s="0" t="s">
        <v>20</v>
      </c>
      <c r="L36" s="0" t="n">
        <f aca="false">IF(K36=" ALARM",1,0)</f>
        <v>1</v>
      </c>
      <c r="M36" s="0" t="s">
        <v>20</v>
      </c>
      <c r="N36" s="0" t="n">
        <f aca="false">IF(M36=" ALARM",1,0)</f>
        <v>1</v>
      </c>
      <c r="O36" s="0" t="s">
        <v>127</v>
      </c>
      <c r="P36" s="0" t="s">
        <v>128</v>
      </c>
      <c r="Q36" s="0" t="s">
        <v>39</v>
      </c>
    </row>
    <row r="37" customFormat="false" ht="12.8" hidden="true" customHeight="false" outlineLevel="0" collapsed="false">
      <c r="A37" s="0" t="n">
        <v>6668</v>
      </c>
      <c r="B37" s="0" t="s">
        <v>129</v>
      </c>
      <c r="E37" s="0" t="s">
        <v>17</v>
      </c>
      <c r="F37" s="0" t="s">
        <v>35</v>
      </c>
      <c r="G37" s="0" t="n">
        <v>45</v>
      </c>
      <c r="H37" s="0" t="s">
        <v>36</v>
      </c>
      <c r="I37" s="0" t="s">
        <v>21</v>
      </c>
      <c r="J37" s="0" t="n">
        <f aca="false">IF(I37=" ALARM",1,0)</f>
        <v>0</v>
      </c>
      <c r="K37" s="0" t="s">
        <v>20</v>
      </c>
      <c r="L37" s="0" t="n">
        <f aca="false">IF(K37=" ALARM",1,0)</f>
        <v>1</v>
      </c>
      <c r="M37" s="0" t="s">
        <v>30</v>
      </c>
      <c r="N37" s="0" t="n">
        <f aca="false">IF(M37=" ALARM",1,0)</f>
        <v>0</v>
      </c>
      <c r="O37" s="0" t="s">
        <v>69</v>
      </c>
      <c r="P37" s="0" t="s">
        <v>130</v>
      </c>
      <c r="Q37" s="0" t="s">
        <v>39</v>
      </c>
    </row>
    <row r="38" customFormat="false" ht="12.8" hidden="true" customHeight="false" outlineLevel="0" collapsed="false">
      <c r="A38" s="0" t="n">
        <v>6717</v>
      </c>
      <c r="B38" s="0" t="s">
        <v>131</v>
      </c>
      <c r="E38" s="0" t="s">
        <v>17</v>
      </c>
      <c r="F38" s="0" t="s">
        <v>132</v>
      </c>
      <c r="G38" s="0" t="n">
        <v>45</v>
      </c>
      <c r="H38" s="0" t="s">
        <v>36</v>
      </c>
      <c r="I38" s="0" t="s">
        <v>20</v>
      </c>
      <c r="J38" s="0" t="n">
        <f aca="false">IF(I38=" ALARM",1,0)</f>
        <v>1</v>
      </c>
      <c r="K38" s="0" t="s">
        <v>20</v>
      </c>
      <c r="L38" s="0" t="n">
        <f aca="false">IF(K38=" ALARM",1,0)</f>
        <v>1</v>
      </c>
      <c r="M38" s="0" t="s">
        <v>20</v>
      </c>
      <c r="N38" s="0" t="n">
        <f aca="false">IF(M38=" ALARM",1,0)</f>
        <v>1</v>
      </c>
      <c r="O38" s="0" t="s">
        <v>133</v>
      </c>
      <c r="P38" s="0" t="s">
        <v>134</v>
      </c>
      <c r="Q38" s="0" t="s">
        <v>39</v>
      </c>
    </row>
    <row r="39" customFormat="false" ht="12.8" hidden="true" customHeight="false" outlineLevel="0" collapsed="false">
      <c r="A39" s="0" t="n">
        <v>6732</v>
      </c>
      <c r="B39" s="0" t="s">
        <v>135</v>
      </c>
      <c r="E39" s="0" t="s">
        <v>17</v>
      </c>
      <c r="F39" s="0" t="s">
        <v>35</v>
      </c>
      <c r="G39" s="0" t="n">
        <v>45</v>
      </c>
      <c r="H39" s="0" t="s">
        <v>36</v>
      </c>
      <c r="I39" s="0" t="s">
        <v>20</v>
      </c>
      <c r="J39" s="0" t="n">
        <f aca="false">IF(I39=" ALARM",1,0)</f>
        <v>1</v>
      </c>
      <c r="K39" s="0" t="s">
        <v>20</v>
      </c>
      <c r="L39" s="0" t="n">
        <f aca="false">IF(K39=" ALARM",1,0)</f>
        <v>1</v>
      </c>
      <c r="M39" s="0" t="s">
        <v>20</v>
      </c>
      <c r="N39" s="0" t="n">
        <f aca="false">IF(M39=" ALARM",1,0)</f>
        <v>1</v>
      </c>
      <c r="O39" s="0" t="s">
        <v>136</v>
      </c>
      <c r="P39" s="0" t="s">
        <v>137</v>
      </c>
      <c r="Q39" s="0" t="s">
        <v>39</v>
      </c>
    </row>
    <row r="40" customFormat="false" ht="12.8" hidden="true" customHeight="false" outlineLevel="0" collapsed="false">
      <c r="A40" s="0" t="n">
        <v>6761</v>
      </c>
      <c r="B40" s="0" t="s">
        <v>138</v>
      </c>
      <c r="E40" s="0" t="s">
        <v>17</v>
      </c>
      <c r="F40" s="0" t="s">
        <v>97</v>
      </c>
      <c r="G40" s="0" t="n">
        <v>45</v>
      </c>
      <c r="H40" s="0" t="s">
        <v>36</v>
      </c>
      <c r="I40" s="0" t="s">
        <v>20</v>
      </c>
      <c r="J40" s="0" t="n">
        <f aca="false">IF(I40=" ALARM",1,0)</f>
        <v>1</v>
      </c>
      <c r="K40" s="0" t="s">
        <v>20</v>
      </c>
      <c r="L40" s="0" t="n">
        <f aca="false">IF(K40=" ALARM",1,0)</f>
        <v>1</v>
      </c>
      <c r="M40" s="0" t="s">
        <v>20</v>
      </c>
      <c r="N40" s="0" t="n">
        <f aca="false">IF(M40=" ALARM",1,0)</f>
        <v>1</v>
      </c>
      <c r="O40" s="0" t="s">
        <v>139</v>
      </c>
      <c r="P40" s="0" t="s">
        <v>140</v>
      </c>
      <c r="Q40" s="0" t="s">
        <v>39</v>
      </c>
    </row>
    <row r="41" customFormat="false" ht="12.8" hidden="true" customHeight="false" outlineLevel="0" collapsed="false">
      <c r="A41" s="0" t="n">
        <v>6767</v>
      </c>
      <c r="B41" s="0" t="s">
        <v>141</v>
      </c>
      <c r="E41" s="0" t="s">
        <v>17</v>
      </c>
      <c r="F41" s="0" t="s">
        <v>18</v>
      </c>
      <c r="G41" s="0" t="n">
        <v>45</v>
      </c>
      <c r="H41" s="0" t="s">
        <v>36</v>
      </c>
      <c r="I41" s="0" t="s">
        <v>20</v>
      </c>
      <c r="J41" s="0" t="n">
        <f aca="false">IF(I41=" ALARM",1,0)</f>
        <v>1</v>
      </c>
      <c r="K41" s="0" t="s">
        <v>20</v>
      </c>
      <c r="L41" s="0" t="n">
        <f aca="false">IF(K41=" ALARM",1,0)</f>
        <v>1</v>
      </c>
      <c r="M41" s="0" t="s">
        <v>20</v>
      </c>
      <c r="N41" s="0" t="n">
        <f aca="false">IF(M41=" ALARM",1,0)</f>
        <v>1</v>
      </c>
      <c r="O41" s="0" t="s">
        <v>142</v>
      </c>
      <c r="P41" s="0" t="s">
        <v>143</v>
      </c>
      <c r="Q41" s="0" t="s">
        <v>144</v>
      </c>
    </row>
    <row r="42" customFormat="false" ht="12.8" hidden="true" customHeight="false" outlineLevel="0" collapsed="false">
      <c r="A42" s="0" t="n">
        <v>6808</v>
      </c>
      <c r="B42" s="0" t="s">
        <v>145</v>
      </c>
      <c r="E42" s="0" t="s">
        <v>17</v>
      </c>
      <c r="F42" s="0" t="s">
        <v>97</v>
      </c>
      <c r="G42" s="0" t="n">
        <v>45</v>
      </c>
      <c r="H42" s="0" t="s">
        <v>36</v>
      </c>
      <c r="I42" s="0" t="s">
        <v>20</v>
      </c>
      <c r="J42" s="0" t="n">
        <f aca="false">IF(I42=" ALARM",1,0)</f>
        <v>1</v>
      </c>
      <c r="K42" s="0" t="s">
        <v>20</v>
      </c>
      <c r="L42" s="0" t="n">
        <f aca="false">IF(K42=" ALARM",1,0)</f>
        <v>1</v>
      </c>
      <c r="M42" s="0" t="s">
        <v>20</v>
      </c>
      <c r="N42" s="0" t="n">
        <f aca="false">IF(M42=" ALARM",1,0)</f>
        <v>1</v>
      </c>
      <c r="O42" s="0" t="s">
        <v>146</v>
      </c>
      <c r="P42" s="0" t="s">
        <v>147</v>
      </c>
      <c r="Q42" s="0" t="s">
        <v>39</v>
      </c>
    </row>
    <row r="43" customFormat="false" ht="12.8" hidden="true" customHeight="false" outlineLevel="0" collapsed="false">
      <c r="A43" s="0" t="n">
        <v>6815</v>
      </c>
      <c r="B43" s="0" t="s">
        <v>148</v>
      </c>
      <c r="E43" s="0" t="s">
        <v>17</v>
      </c>
      <c r="F43" s="0" t="s">
        <v>132</v>
      </c>
      <c r="G43" s="0" t="n">
        <v>45</v>
      </c>
      <c r="H43" s="0" t="s">
        <v>36</v>
      </c>
      <c r="I43" s="0" t="s">
        <v>20</v>
      </c>
      <c r="J43" s="0" t="n">
        <f aca="false">IF(I43=" ALARM",1,0)</f>
        <v>1</v>
      </c>
      <c r="K43" s="0" t="s">
        <v>20</v>
      </c>
      <c r="L43" s="0" t="n">
        <f aca="false">IF(K43=" ALARM",1,0)</f>
        <v>1</v>
      </c>
      <c r="M43" s="0" t="s">
        <v>20</v>
      </c>
      <c r="N43" s="0" t="n">
        <f aca="false">IF(M43=" ALARM",1,0)</f>
        <v>1</v>
      </c>
      <c r="O43" s="0" t="s">
        <v>149</v>
      </c>
      <c r="P43" s="0" t="s">
        <v>150</v>
      </c>
      <c r="Q43" s="0" t="s">
        <v>39</v>
      </c>
    </row>
    <row r="44" customFormat="false" ht="12.8" hidden="true" customHeight="false" outlineLevel="0" collapsed="false">
      <c r="A44" s="0" t="n">
        <v>6840</v>
      </c>
      <c r="B44" s="0" t="s">
        <v>151</v>
      </c>
      <c r="E44" s="0" t="s">
        <v>17</v>
      </c>
      <c r="F44" s="0" t="s">
        <v>97</v>
      </c>
      <c r="G44" s="0" t="n">
        <v>45</v>
      </c>
      <c r="H44" s="0" t="s">
        <v>36</v>
      </c>
      <c r="I44" s="0" t="s">
        <v>20</v>
      </c>
      <c r="J44" s="0" t="n">
        <f aca="false">IF(I44=" ALARM",1,0)</f>
        <v>1</v>
      </c>
      <c r="K44" s="0" t="s">
        <v>20</v>
      </c>
      <c r="L44" s="0" t="n">
        <f aca="false">IF(K44=" ALARM",1,0)</f>
        <v>1</v>
      </c>
      <c r="M44" s="0" t="s">
        <v>21</v>
      </c>
      <c r="N44" s="0" t="n">
        <f aca="false">IF(M44=" ALARM",1,0)</f>
        <v>0</v>
      </c>
      <c r="O44" s="0" t="s">
        <v>152</v>
      </c>
      <c r="P44" s="0" t="s">
        <v>153</v>
      </c>
      <c r="Q44" s="0" t="s">
        <v>39</v>
      </c>
    </row>
    <row r="45" customFormat="false" ht="12.8" hidden="true" customHeight="false" outlineLevel="0" collapsed="false">
      <c r="A45" s="0" t="n">
        <v>6847</v>
      </c>
      <c r="B45" s="0" t="s">
        <v>154</v>
      </c>
      <c r="E45" s="0" t="s">
        <v>17</v>
      </c>
      <c r="F45" s="0" t="s">
        <v>18</v>
      </c>
      <c r="G45" s="0" t="n">
        <v>45</v>
      </c>
      <c r="H45" s="0" t="s">
        <v>36</v>
      </c>
      <c r="I45" s="0" t="s">
        <v>20</v>
      </c>
      <c r="J45" s="0" t="n">
        <f aca="false">IF(I45=" ALARM",1,0)</f>
        <v>1</v>
      </c>
      <c r="K45" s="0" t="s">
        <v>20</v>
      </c>
      <c r="L45" s="0" t="n">
        <f aca="false">IF(K45=" ALARM",1,0)</f>
        <v>1</v>
      </c>
      <c r="M45" s="0" t="s">
        <v>20</v>
      </c>
      <c r="N45" s="0" t="n">
        <f aca="false">IF(M45=" ALARM",1,0)</f>
        <v>1</v>
      </c>
      <c r="O45" s="0" t="s">
        <v>155</v>
      </c>
      <c r="P45" s="0" t="s">
        <v>156</v>
      </c>
      <c r="Q45" s="0" t="s">
        <v>157</v>
      </c>
    </row>
    <row r="46" customFormat="false" ht="12.8" hidden="true" customHeight="false" outlineLevel="0" collapsed="false">
      <c r="A46" s="0" t="n">
        <v>6886</v>
      </c>
      <c r="B46" s="0" t="s">
        <v>158</v>
      </c>
      <c r="E46" s="0" t="s">
        <v>17</v>
      </c>
      <c r="F46" s="0" t="s">
        <v>97</v>
      </c>
      <c r="G46" s="0" t="n">
        <v>45</v>
      </c>
      <c r="H46" s="0" t="s">
        <v>36</v>
      </c>
      <c r="I46" s="0" t="s">
        <v>20</v>
      </c>
      <c r="J46" s="0" t="n">
        <f aca="false">IF(I46=" ALARM",1,0)</f>
        <v>1</v>
      </c>
      <c r="K46" s="0" t="s">
        <v>20</v>
      </c>
      <c r="L46" s="0" t="n">
        <f aca="false">IF(K46=" ALARM",1,0)</f>
        <v>1</v>
      </c>
      <c r="M46" s="0" t="s">
        <v>20</v>
      </c>
      <c r="N46" s="0" t="n">
        <f aca="false">IF(M46=" ALARM",1,0)</f>
        <v>1</v>
      </c>
      <c r="O46" s="0" t="s">
        <v>159</v>
      </c>
      <c r="P46" s="0" t="s">
        <v>160</v>
      </c>
      <c r="Q46" s="0" t="s">
        <v>39</v>
      </c>
    </row>
    <row r="47" customFormat="false" ht="12.8" hidden="true" customHeight="false" outlineLevel="0" collapsed="false">
      <c r="A47" s="0" t="n">
        <v>6998</v>
      </c>
      <c r="B47" s="0" t="s">
        <v>161</v>
      </c>
      <c r="E47" s="0" t="s">
        <v>17</v>
      </c>
      <c r="F47" s="0" t="s">
        <v>97</v>
      </c>
      <c r="G47" s="0" t="n">
        <v>45</v>
      </c>
      <c r="H47" s="0" t="s">
        <v>36</v>
      </c>
      <c r="I47" s="0" t="s">
        <v>20</v>
      </c>
      <c r="J47" s="0" t="n">
        <f aca="false">IF(I47=" ALARM",1,0)</f>
        <v>1</v>
      </c>
      <c r="K47" s="0" t="s">
        <v>20</v>
      </c>
      <c r="L47" s="0" t="n">
        <f aca="false">IF(K47=" ALARM",1,0)</f>
        <v>1</v>
      </c>
      <c r="M47" s="0" t="s">
        <v>20</v>
      </c>
      <c r="N47" s="0" t="n">
        <f aca="false">IF(M47=" ALARM",1,0)</f>
        <v>1</v>
      </c>
      <c r="O47" s="0" t="s">
        <v>162</v>
      </c>
      <c r="P47" s="0" t="s">
        <v>163</v>
      </c>
      <c r="Q47" s="0" t="s">
        <v>39</v>
      </c>
    </row>
    <row r="48" customFormat="false" ht="12.8" hidden="true" customHeight="false" outlineLevel="0" collapsed="false">
      <c r="A48" s="0" t="n">
        <v>7006</v>
      </c>
      <c r="B48" s="0" t="s">
        <v>164</v>
      </c>
      <c r="E48" s="0" t="s">
        <v>17</v>
      </c>
      <c r="F48" s="0" t="s">
        <v>97</v>
      </c>
      <c r="G48" s="0" t="n">
        <v>45</v>
      </c>
      <c r="H48" s="0" t="s">
        <v>36</v>
      </c>
      <c r="I48" s="0" t="s">
        <v>30</v>
      </c>
      <c r="J48" s="0" t="n">
        <f aca="false">IF(I48=" ALARM",1,0)</f>
        <v>0</v>
      </c>
      <c r="K48" s="0" t="s">
        <v>20</v>
      </c>
      <c r="L48" s="0" t="n">
        <f aca="false">IF(K48=" ALARM",1,0)</f>
        <v>1</v>
      </c>
      <c r="M48" s="0" t="s">
        <v>20</v>
      </c>
      <c r="N48" s="0" t="n">
        <f aca="false">IF(M48=" ALARM",1,0)</f>
        <v>1</v>
      </c>
      <c r="O48" s="0" t="s">
        <v>165</v>
      </c>
      <c r="P48" s="0" t="s">
        <v>166</v>
      </c>
      <c r="Q48" s="0" t="s">
        <v>39</v>
      </c>
    </row>
    <row r="49" customFormat="false" ht="12.8" hidden="true" customHeight="false" outlineLevel="0" collapsed="false">
      <c r="A49" s="0" t="n">
        <v>7007</v>
      </c>
      <c r="B49" s="0" t="s">
        <v>167</v>
      </c>
      <c r="E49" s="0" t="s">
        <v>17</v>
      </c>
      <c r="F49" s="0" t="s">
        <v>97</v>
      </c>
      <c r="G49" s="0" t="n">
        <v>45</v>
      </c>
      <c r="H49" s="0" t="s">
        <v>36</v>
      </c>
      <c r="I49" s="0" t="s">
        <v>21</v>
      </c>
      <c r="J49" s="0" t="n">
        <f aca="false">IF(I49=" ALARM",1,0)</f>
        <v>0</v>
      </c>
      <c r="K49" s="0" t="s">
        <v>20</v>
      </c>
      <c r="L49" s="0" t="n">
        <f aca="false">IF(K49=" ALARM",1,0)</f>
        <v>1</v>
      </c>
      <c r="M49" s="0" t="s">
        <v>20</v>
      </c>
      <c r="N49" s="0" t="n">
        <f aca="false">IF(M49=" ALARM",1,0)</f>
        <v>1</v>
      </c>
      <c r="O49" s="0" t="s">
        <v>168</v>
      </c>
      <c r="P49" s="0" t="s">
        <v>169</v>
      </c>
      <c r="Q49" s="0" t="s">
        <v>39</v>
      </c>
    </row>
    <row r="50" customFormat="false" ht="12.8" hidden="true" customHeight="false" outlineLevel="0" collapsed="false">
      <c r="A50" s="0" t="n">
        <v>7036</v>
      </c>
      <c r="B50" s="0" t="s">
        <v>170</v>
      </c>
      <c r="E50" s="0" t="s">
        <v>17</v>
      </c>
      <c r="F50" s="0" t="s">
        <v>97</v>
      </c>
      <c r="G50" s="0" t="n">
        <v>45</v>
      </c>
      <c r="H50" s="0" t="s">
        <v>36</v>
      </c>
      <c r="I50" s="0" t="s">
        <v>20</v>
      </c>
      <c r="J50" s="0" t="n">
        <f aca="false">IF(I50=" ALARM",1,0)</f>
        <v>1</v>
      </c>
      <c r="K50" s="0" t="s">
        <v>20</v>
      </c>
      <c r="L50" s="0" t="n">
        <f aca="false">IF(K50=" ALARM",1,0)</f>
        <v>1</v>
      </c>
      <c r="M50" s="0" t="s">
        <v>20</v>
      </c>
      <c r="N50" s="0" t="n">
        <f aca="false">IF(M50=" ALARM",1,0)</f>
        <v>1</v>
      </c>
      <c r="O50" s="0" t="s">
        <v>171</v>
      </c>
      <c r="P50" s="0" t="s">
        <v>172</v>
      </c>
      <c r="Q50" s="0" t="s">
        <v>39</v>
      </c>
    </row>
    <row r="51" customFormat="false" ht="12.8" hidden="true" customHeight="false" outlineLevel="0" collapsed="false">
      <c r="A51" s="0" t="n">
        <v>7044</v>
      </c>
      <c r="B51" s="0" t="s">
        <v>173</v>
      </c>
      <c r="E51" s="0" t="s">
        <v>17</v>
      </c>
      <c r="F51" s="0" t="s">
        <v>97</v>
      </c>
      <c r="G51" s="0" t="n">
        <v>45</v>
      </c>
      <c r="H51" s="0" t="s">
        <v>36</v>
      </c>
      <c r="I51" s="0" t="s">
        <v>20</v>
      </c>
      <c r="J51" s="0" t="n">
        <f aca="false">IF(I51=" ALARM",1,0)</f>
        <v>1</v>
      </c>
      <c r="K51" s="0" t="s">
        <v>20</v>
      </c>
      <c r="L51" s="0" t="n">
        <f aca="false">IF(K51=" ALARM",1,0)</f>
        <v>1</v>
      </c>
      <c r="M51" s="0" t="s">
        <v>20</v>
      </c>
      <c r="N51" s="0" t="n">
        <f aca="false">IF(M51=" ALARM",1,0)</f>
        <v>1</v>
      </c>
      <c r="O51" s="0" t="s">
        <v>174</v>
      </c>
      <c r="P51" s="0" t="s">
        <v>175</v>
      </c>
      <c r="Q51" s="0" t="s">
        <v>39</v>
      </c>
    </row>
    <row r="52" customFormat="false" ht="12.8" hidden="true" customHeight="false" outlineLevel="0" collapsed="false">
      <c r="A52" s="0" t="n">
        <v>7125</v>
      </c>
      <c r="B52" s="0" t="s">
        <v>176</v>
      </c>
      <c r="E52" s="0" t="s">
        <v>17</v>
      </c>
      <c r="F52" s="0" t="s">
        <v>97</v>
      </c>
      <c r="G52" s="0" t="n">
        <v>45</v>
      </c>
      <c r="H52" s="0" t="s">
        <v>36</v>
      </c>
      <c r="I52" s="0" t="s">
        <v>20</v>
      </c>
      <c r="J52" s="0" t="n">
        <f aca="false">IF(I52=" ALARM",1,0)</f>
        <v>1</v>
      </c>
      <c r="K52" s="0" t="s">
        <v>20</v>
      </c>
      <c r="L52" s="0" t="n">
        <f aca="false">IF(K52=" ALARM",1,0)</f>
        <v>1</v>
      </c>
      <c r="M52" s="0" t="s">
        <v>20</v>
      </c>
      <c r="N52" s="0" t="n">
        <f aca="false">IF(M52=" ALARM",1,0)</f>
        <v>1</v>
      </c>
      <c r="O52" s="0" t="s">
        <v>177</v>
      </c>
      <c r="P52" s="0" t="s">
        <v>178</v>
      </c>
      <c r="Q52" s="0" t="s">
        <v>39</v>
      </c>
    </row>
    <row r="53" customFormat="false" ht="12.8" hidden="true" customHeight="false" outlineLevel="0" collapsed="false">
      <c r="A53" s="0" t="n">
        <v>7126</v>
      </c>
      <c r="B53" s="0" t="s">
        <v>179</v>
      </c>
      <c r="E53" s="0" t="s">
        <v>17</v>
      </c>
      <c r="F53" s="0" t="s">
        <v>97</v>
      </c>
      <c r="G53" s="0" t="n">
        <v>45</v>
      </c>
      <c r="H53" s="0" t="s">
        <v>36</v>
      </c>
      <c r="I53" s="0" t="s">
        <v>20</v>
      </c>
      <c r="J53" s="0" t="n">
        <f aca="false">IF(I53=" ALARM",1,0)</f>
        <v>1</v>
      </c>
      <c r="K53" s="0" t="s">
        <v>20</v>
      </c>
      <c r="L53" s="0" t="n">
        <f aca="false">IF(K53=" ALARM",1,0)</f>
        <v>1</v>
      </c>
      <c r="M53" s="0" t="s">
        <v>20</v>
      </c>
      <c r="N53" s="0" t="n">
        <f aca="false">IF(M53=" ALARM",1,0)</f>
        <v>1</v>
      </c>
      <c r="O53" s="0" t="s">
        <v>180</v>
      </c>
      <c r="P53" s="0" t="s">
        <v>181</v>
      </c>
      <c r="Q53" s="0" t="s">
        <v>39</v>
      </c>
    </row>
    <row r="54" customFormat="false" ht="12.8" hidden="true" customHeight="false" outlineLevel="0" collapsed="false">
      <c r="A54" s="0" t="n">
        <v>7219</v>
      </c>
      <c r="B54" s="0" t="s">
        <v>182</v>
      </c>
      <c r="E54" s="0" t="s">
        <v>17</v>
      </c>
      <c r="F54" s="0" t="s">
        <v>97</v>
      </c>
      <c r="G54" s="0" t="n">
        <v>45</v>
      </c>
      <c r="H54" s="0" t="s">
        <v>52</v>
      </c>
      <c r="I54" s="0" t="s">
        <v>20</v>
      </c>
      <c r="J54" s="0" t="n">
        <f aca="false">IF(I54=" ALARM",1,0)</f>
        <v>1</v>
      </c>
      <c r="K54" s="0" t="s">
        <v>20</v>
      </c>
      <c r="L54" s="0" t="n">
        <f aca="false">IF(K54=" ALARM",1,0)</f>
        <v>1</v>
      </c>
      <c r="M54" s="0" t="s">
        <v>20</v>
      </c>
      <c r="N54" s="0" t="n">
        <f aca="false">IF(M54=" ALARM",1,0)</f>
        <v>1</v>
      </c>
      <c r="O54" s="0" t="s">
        <v>183</v>
      </c>
      <c r="P54" s="0" t="s">
        <v>184</v>
      </c>
    </row>
    <row r="55" customFormat="false" ht="12.8" hidden="true" customHeight="false" outlineLevel="0" collapsed="false">
      <c r="A55" s="0" t="n">
        <v>7222</v>
      </c>
      <c r="B55" s="0" t="s">
        <v>185</v>
      </c>
      <c r="E55" s="0" t="s">
        <v>17</v>
      </c>
      <c r="F55" s="0" t="s">
        <v>36</v>
      </c>
      <c r="G55" s="0" t="n">
        <v>45</v>
      </c>
      <c r="H55" s="0" t="s">
        <v>52</v>
      </c>
      <c r="I55" s="0" t="s">
        <v>20</v>
      </c>
      <c r="J55" s="0" t="n">
        <f aca="false">IF(I55=" ALARM",1,0)</f>
        <v>1</v>
      </c>
      <c r="K55" s="0" t="s">
        <v>20</v>
      </c>
      <c r="L55" s="0" t="n">
        <f aca="false">IF(K55=" ALARM",1,0)</f>
        <v>1</v>
      </c>
      <c r="M55" s="0" t="s">
        <v>30</v>
      </c>
      <c r="N55" s="0" t="n">
        <f aca="false">IF(M55=" ALARM",1,0)</f>
        <v>0</v>
      </c>
      <c r="O55" s="0" t="s">
        <v>186</v>
      </c>
      <c r="P55" s="0" t="s">
        <v>187</v>
      </c>
    </row>
    <row r="56" customFormat="false" ht="12.8" hidden="true" customHeight="false" outlineLevel="0" collapsed="false">
      <c r="A56" s="0" t="n">
        <v>7258</v>
      </c>
      <c r="B56" s="0" t="s">
        <v>188</v>
      </c>
      <c r="E56" s="0" t="s">
        <v>17</v>
      </c>
      <c r="F56" s="0" t="s">
        <v>35</v>
      </c>
      <c r="G56" s="0" t="n">
        <v>45</v>
      </c>
      <c r="H56" s="0" t="s">
        <v>52</v>
      </c>
      <c r="I56" s="0" t="s">
        <v>20</v>
      </c>
      <c r="J56" s="0" t="n">
        <f aca="false">IF(I56=" ALARM",1,0)</f>
        <v>1</v>
      </c>
      <c r="K56" s="0" t="s">
        <v>20</v>
      </c>
      <c r="L56" s="0" t="n">
        <f aca="false">IF(K56=" ALARM",1,0)</f>
        <v>1</v>
      </c>
      <c r="M56" s="0" t="s">
        <v>20</v>
      </c>
      <c r="N56" s="0" t="n">
        <f aca="false">IF(M56=" ALARM",1,0)</f>
        <v>1</v>
      </c>
      <c r="O56" s="0" t="s">
        <v>189</v>
      </c>
      <c r="P56" s="0" t="s">
        <v>190</v>
      </c>
    </row>
    <row r="57" customFormat="false" ht="12.8" hidden="true" customHeight="false" outlineLevel="0" collapsed="false">
      <c r="A57" s="0" t="n">
        <v>7262</v>
      </c>
      <c r="B57" s="0" t="s">
        <v>191</v>
      </c>
      <c r="E57" s="0" t="s">
        <v>17</v>
      </c>
      <c r="F57" s="0" t="s">
        <v>35</v>
      </c>
      <c r="G57" s="0" t="n">
        <v>45</v>
      </c>
      <c r="H57" s="0" t="s">
        <v>52</v>
      </c>
      <c r="I57" s="0" t="s">
        <v>20</v>
      </c>
      <c r="J57" s="0" t="n">
        <f aca="false">IF(I57=" ALARM",1,0)</f>
        <v>1</v>
      </c>
      <c r="K57" s="0" t="s">
        <v>20</v>
      </c>
      <c r="L57" s="0" t="n">
        <f aca="false">IF(K57=" ALARM",1,0)</f>
        <v>1</v>
      </c>
      <c r="M57" s="0" t="s">
        <v>20</v>
      </c>
      <c r="N57" s="0" t="n">
        <f aca="false">IF(M57=" ALARM",1,0)</f>
        <v>1</v>
      </c>
      <c r="O57" s="0" t="s">
        <v>192</v>
      </c>
      <c r="P57" s="0" t="s">
        <v>193</v>
      </c>
    </row>
    <row r="58" customFormat="false" ht="12.8" hidden="true" customHeight="false" outlineLevel="0" collapsed="false">
      <c r="A58" s="0" t="n">
        <v>7363</v>
      </c>
      <c r="B58" s="0" t="s">
        <v>194</v>
      </c>
      <c r="E58" s="0" t="s">
        <v>17</v>
      </c>
      <c r="F58" s="0" t="s">
        <v>35</v>
      </c>
      <c r="G58" s="0" t="n">
        <v>45</v>
      </c>
      <c r="H58" s="0" t="s">
        <v>52</v>
      </c>
      <c r="I58" s="0" t="s">
        <v>20</v>
      </c>
      <c r="J58" s="0" t="n">
        <f aca="false">IF(I58=" ALARM",1,0)</f>
        <v>1</v>
      </c>
      <c r="K58" s="0" t="s">
        <v>20</v>
      </c>
      <c r="L58" s="0" t="n">
        <f aca="false">IF(K58=" ALARM",1,0)</f>
        <v>1</v>
      </c>
      <c r="M58" s="0" t="s">
        <v>20</v>
      </c>
      <c r="N58" s="0" t="n">
        <f aca="false">IF(M58=" ALARM",1,0)</f>
        <v>1</v>
      </c>
      <c r="O58" s="0" t="s">
        <v>195</v>
      </c>
      <c r="P58" s="0" t="s">
        <v>196</v>
      </c>
    </row>
    <row r="59" customFormat="false" ht="12.8" hidden="true" customHeight="false" outlineLevel="0" collapsed="false">
      <c r="A59" s="0" t="n">
        <v>7434</v>
      </c>
      <c r="B59" s="0" t="s">
        <v>197</v>
      </c>
      <c r="E59" s="0" t="s">
        <v>17</v>
      </c>
      <c r="F59" s="0" t="s">
        <v>97</v>
      </c>
      <c r="G59" s="0" t="n">
        <v>45</v>
      </c>
      <c r="H59" s="0" t="s">
        <v>52</v>
      </c>
      <c r="I59" s="0" t="s">
        <v>30</v>
      </c>
      <c r="J59" s="0" t="n">
        <f aca="false">IF(I59=" ALARM",1,0)</f>
        <v>0</v>
      </c>
      <c r="K59" s="0" t="s">
        <v>20</v>
      </c>
      <c r="L59" s="0" t="n">
        <f aca="false">IF(K59=" ALARM",1,0)</f>
        <v>1</v>
      </c>
      <c r="M59" s="0" t="s">
        <v>20</v>
      </c>
      <c r="N59" s="0" t="n">
        <f aca="false">IF(M59=" ALARM",1,0)</f>
        <v>1</v>
      </c>
      <c r="O59" s="0" t="s">
        <v>198</v>
      </c>
      <c r="P59" s="0" t="s">
        <v>199</v>
      </c>
    </row>
    <row r="60" customFormat="false" ht="12.8" hidden="true" customHeight="false" outlineLevel="0" collapsed="false">
      <c r="A60" s="0" t="n">
        <v>7823</v>
      </c>
      <c r="B60" s="0" t="s">
        <v>200</v>
      </c>
      <c r="E60" s="0" t="s">
        <v>17</v>
      </c>
      <c r="F60" s="0" t="s">
        <v>35</v>
      </c>
      <c r="G60" s="0" t="n">
        <v>45</v>
      </c>
      <c r="H60" s="0" t="s">
        <v>52</v>
      </c>
      <c r="I60" s="0" t="s">
        <v>20</v>
      </c>
      <c r="J60" s="0" t="n">
        <f aca="false">IF(I60=" ALARM",1,0)</f>
        <v>1</v>
      </c>
      <c r="K60" s="0" t="s">
        <v>20</v>
      </c>
      <c r="L60" s="0" t="n">
        <f aca="false">IF(K60=" ALARM",1,0)</f>
        <v>1</v>
      </c>
      <c r="M60" s="0" t="s">
        <v>20</v>
      </c>
      <c r="N60" s="0" t="n">
        <f aca="false">IF(M60=" ALARM",1,0)</f>
        <v>1</v>
      </c>
      <c r="O60" s="0" t="s">
        <v>195</v>
      </c>
      <c r="P60" s="0" t="s">
        <v>201</v>
      </c>
    </row>
    <row r="61" customFormat="false" ht="12.8" hidden="true" customHeight="false" outlineLevel="0" collapsed="false">
      <c r="A61" s="0" t="n">
        <v>8726</v>
      </c>
      <c r="B61" s="0" t="s">
        <v>202</v>
      </c>
      <c r="E61" s="0" t="s">
        <v>17</v>
      </c>
      <c r="F61" s="0" t="s">
        <v>35</v>
      </c>
      <c r="G61" s="0" t="n">
        <v>45</v>
      </c>
      <c r="H61" s="0" t="s">
        <v>52</v>
      </c>
      <c r="I61" s="0" t="s">
        <v>20</v>
      </c>
      <c r="J61" s="0" t="n">
        <f aca="false">IF(I61=" ALARM",1,0)</f>
        <v>1</v>
      </c>
      <c r="K61" s="0" t="s">
        <v>20</v>
      </c>
      <c r="L61" s="0" t="n">
        <f aca="false">IF(K61=" ALARM",1,0)</f>
        <v>1</v>
      </c>
      <c r="M61" s="0" t="s">
        <v>30</v>
      </c>
      <c r="N61" s="0" t="n">
        <f aca="false">IF(M61=" ALARM",1,0)</f>
        <v>0</v>
      </c>
      <c r="O61" s="0" t="s">
        <v>203</v>
      </c>
      <c r="P61" s="0" t="s">
        <v>204</v>
      </c>
    </row>
    <row r="62" customFormat="false" ht="12.8" hidden="true" customHeight="false" outlineLevel="0" collapsed="false">
      <c r="A62" s="0" t="n">
        <v>8420</v>
      </c>
      <c r="B62" s="0" t="s">
        <v>205</v>
      </c>
      <c r="E62" s="0" t="s">
        <v>17</v>
      </c>
      <c r="F62" s="0" t="s">
        <v>35</v>
      </c>
      <c r="G62" s="0" t="n">
        <v>45</v>
      </c>
      <c r="H62" s="0" t="s">
        <v>52</v>
      </c>
      <c r="I62" s="0" t="s">
        <v>21</v>
      </c>
      <c r="J62" s="0" t="n">
        <f aca="false">IF(I62=" ALARM",1,0)</f>
        <v>0</v>
      </c>
      <c r="K62" s="0" t="s">
        <v>21</v>
      </c>
      <c r="L62" s="0" t="n">
        <f aca="false">IF(K62=" ALARM",1,0)</f>
        <v>0</v>
      </c>
      <c r="M62" s="0" t="s">
        <v>21</v>
      </c>
      <c r="N62" s="0" t="n">
        <f aca="false">IF(M62=" ALARM",1,0)</f>
        <v>0</v>
      </c>
      <c r="O62" s="0" t="s">
        <v>206</v>
      </c>
      <c r="P62" s="0" t="s">
        <v>206</v>
      </c>
    </row>
    <row r="63" customFormat="false" ht="12.8" hidden="true" customHeight="false" outlineLevel="0" collapsed="false">
      <c r="A63" s="0" t="n">
        <v>8738</v>
      </c>
      <c r="B63" s="0" t="s">
        <v>207</v>
      </c>
      <c r="E63" s="0" t="s">
        <v>17</v>
      </c>
      <c r="F63" s="0" t="s">
        <v>35</v>
      </c>
      <c r="G63" s="0" t="n">
        <v>45</v>
      </c>
      <c r="H63" s="0" t="s">
        <v>52</v>
      </c>
      <c r="I63" s="0" t="s">
        <v>20</v>
      </c>
      <c r="J63" s="0" t="n">
        <f aca="false">IF(I63=" ALARM",1,0)</f>
        <v>1</v>
      </c>
      <c r="K63" s="0" t="s">
        <v>20</v>
      </c>
      <c r="L63" s="0" t="n">
        <f aca="false">IF(K63=" ALARM",1,0)</f>
        <v>1</v>
      </c>
      <c r="M63" s="0" t="s">
        <v>20</v>
      </c>
      <c r="N63" s="0" t="n">
        <f aca="false">IF(M63=" ALARM",1,0)</f>
        <v>1</v>
      </c>
      <c r="O63" s="0" t="s">
        <v>208</v>
      </c>
      <c r="P63" s="0" t="s">
        <v>209</v>
      </c>
    </row>
    <row r="64" customFormat="false" ht="12.8" hidden="true" customHeight="false" outlineLevel="0" collapsed="false">
      <c r="A64" s="0" t="n">
        <v>8875</v>
      </c>
      <c r="B64" s="0" t="s">
        <v>210</v>
      </c>
      <c r="E64" s="0" t="s">
        <v>17</v>
      </c>
      <c r="F64" s="0" t="s">
        <v>35</v>
      </c>
      <c r="G64" s="0" t="n">
        <v>45</v>
      </c>
      <c r="H64" s="0" t="s">
        <v>52</v>
      </c>
      <c r="I64" s="0" t="s">
        <v>20</v>
      </c>
      <c r="J64" s="0" t="n">
        <f aca="false">IF(I64=" ALARM",1,0)</f>
        <v>1</v>
      </c>
      <c r="K64" s="0" t="s">
        <v>20</v>
      </c>
      <c r="L64" s="0" t="n">
        <f aca="false">IF(K64=" ALARM",1,0)</f>
        <v>1</v>
      </c>
      <c r="M64" s="0" t="s">
        <v>20</v>
      </c>
      <c r="N64" s="0" t="n">
        <f aca="false">IF(M64=" ALARM",1,0)</f>
        <v>1</v>
      </c>
      <c r="O64" s="0" t="s">
        <v>211</v>
      </c>
      <c r="P64" s="0" t="s">
        <v>212</v>
      </c>
    </row>
    <row r="65" customFormat="false" ht="12.8" hidden="true" customHeight="false" outlineLevel="0" collapsed="false">
      <c r="A65" s="0" t="n">
        <v>8960</v>
      </c>
      <c r="B65" s="0" t="s">
        <v>213</v>
      </c>
      <c r="E65" s="0" t="s">
        <v>17</v>
      </c>
      <c r="F65" s="0" t="s">
        <v>97</v>
      </c>
      <c r="G65" s="0" t="n">
        <v>45</v>
      </c>
      <c r="H65" s="0" t="s">
        <v>52</v>
      </c>
      <c r="I65" s="0" t="s">
        <v>21</v>
      </c>
      <c r="J65" s="0" t="n">
        <f aca="false">IF(I65=" ALARM",1,0)</f>
        <v>0</v>
      </c>
      <c r="K65" s="0" t="s">
        <v>21</v>
      </c>
      <c r="L65" s="0" t="n">
        <f aca="false">IF(K65=" ALARM",1,0)</f>
        <v>0</v>
      </c>
      <c r="M65" s="0" t="s">
        <v>30</v>
      </c>
      <c r="N65" s="0" t="n">
        <f aca="false">IF(M65=" ALARM",1,0)</f>
        <v>0</v>
      </c>
      <c r="O65" s="0" t="s">
        <v>119</v>
      </c>
      <c r="P65" s="0" t="s">
        <v>119</v>
      </c>
    </row>
    <row r="66" customFormat="false" ht="12.8" hidden="true" customHeight="false" outlineLevel="0" collapsed="false">
      <c r="A66" s="0" t="n">
        <v>8970</v>
      </c>
      <c r="B66" s="0" t="s">
        <v>214</v>
      </c>
      <c r="E66" s="0" t="s">
        <v>17</v>
      </c>
      <c r="F66" s="0" t="s">
        <v>35</v>
      </c>
      <c r="G66" s="0" t="n">
        <v>45</v>
      </c>
      <c r="H66" s="0" t="s">
        <v>52</v>
      </c>
      <c r="I66" s="0" t="s">
        <v>20</v>
      </c>
      <c r="J66" s="0" t="n">
        <f aca="false">IF(I66=" ALARM",1,0)</f>
        <v>1</v>
      </c>
      <c r="K66" s="0" t="s">
        <v>20</v>
      </c>
      <c r="L66" s="0" t="n">
        <f aca="false">IF(K66=" ALARM",1,0)</f>
        <v>1</v>
      </c>
      <c r="M66" s="0" t="s">
        <v>20</v>
      </c>
      <c r="N66" s="0" t="n">
        <f aca="false">IF(M66=" ALARM",1,0)</f>
        <v>1</v>
      </c>
      <c r="O66" s="0" t="s">
        <v>215</v>
      </c>
      <c r="P66" s="0" t="s">
        <v>216</v>
      </c>
    </row>
    <row r="67" customFormat="false" ht="12.8" hidden="true" customHeight="false" outlineLevel="0" collapsed="false">
      <c r="A67" s="0" t="n">
        <v>8998</v>
      </c>
      <c r="B67" s="0" t="s">
        <v>217</v>
      </c>
      <c r="E67" s="0" t="s">
        <v>17</v>
      </c>
      <c r="F67" s="0" t="s">
        <v>97</v>
      </c>
      <c r="G67" s="0" t="n">
        <v>45</v>
      </c>
      <c r="H67" s="0" t="s">
        <v>52</v>
      </c>
      <c r="I67" s="0" t="s">
        <v>21</v>
      </c>
      <c r="J67" s="0" t="n">
        <f aca="false">IF(I67=" ALARM",1,0)</f>
        <v>0</v>
      </c>
      <c r="K67" s="0" t="s">
        <v>20</v>
      </c>
      <c r="L67" s="0" t="n">
        <f aca="false">IF(K67=" ALARM",1,0)</f>
        <v>1</v>
      </c>
      <c r="M67" s="0" t="s">
        <v>20</v>
      </c>
      <c r="N67" s="0" t="n">
        <f aca="false">IF(M67=" ALARM",1,0)</f>
        <v>1</v>
      </c>
      <c r="O67" s="0" t="s">
        <v>218</v>
      </c>
      <c r="P67" s="0" t="s">
        <v>219</v>
      </c>
    </row>
    <row r="68" customFormat="false" ht="12.8" hidden="true" customHeight="false" outlineLevel="0" collapsed="false">
      <c r="A68" s="0" t="n">
        <v>9005</v>
      </c>
      <c r="B68" s="0" t="s">
        <v>220</v>
      </c>
      <c r="E68" s="0" t="s">
        <v>17</v>
      </c>
      <c r="F68" s="0" t="s">
        <v>35</v>
      </c>
      <c r="G68" s="0" t="n">
        <v>45</v>
      </c>
      <c r="H68" s="0" t="s">
        <v>52</v>
      </c>
      <c r="I68" s="0" t="s">
        <v>21</v>
      </c>
      <c r="J68" s="0" t="n">
        <f aca="false">IF(I68=" ALARM",1,0)</f>
        <v>0</v>
      </c>
      <c r="K68" s="0" t="s">
        <v>21</v>
      </c>
      <c r="L68" s="0" t="n">
        <f aca="false">IF(K68=" ALARM",1,0)</f>
        <v>0</v>
      </c>
      <c r="M68" s="0" t="s">
        <v>20</v>
      </c>
      <c r="N68" s="0" t="n">
        <f aca="false">IF(M68=" ALARM",1,0)</f>
        <v>1</v>
      </c>
      <c r="O68" s="0" t="s">
        <v>221</v>
      </c>
      <c r="P68" s="0" t="s">
        <v>221</v>
      </c>
    </row>
    <row r="69" customFormat="false" ht="12.8" hidden="true" customHeight="false" outlineLevel="0" collapsed="false">
      <c r="A69" s="0" t="n">
        <v>9401</v>
      </c>
      <c r="B69" s="0" t="s">
        <v>222</v>
      </c>
      <c r="E69" s="0" t="s">
        <v>17</v>
      </c>
      <c r="F69" s="0" t="s">
        <v>35</v>
      </c>
      <c r="G69" s="0" t="n">
        <v>45</v>
      </c>
      <c r="H69" s="0" t="s">
        <v>52</v>
      </c>
      <c r="I69" s="0" t="s">
        <v>20</v>
      </c>
      <c r="J69" s="0" t="n">
        <f aca="false">IF(I69=" ALARM",1,0)</f>
        <v>1</v>
      </c>
      <c r="K69" s="0" t="s">
        <v>20</v>
      </c>
      <c r="L69" s="0" t="n">
        <f aca="false">IF(K69=" ALARM",1,0)</f>
        <v>1</v>
      </c>
      <c r="M69" s="0" t="s">
        <v>20</v>
      </c>
      <c r="N69" s="0" t="n">
        <f aca="false">IF(M69=" ALARM",1,0)</f>
        <v>1</v>
      </c>
      <c r="O69" s="0" t="s">
        <v>223</v>
      </c>
      <c r="P69" s="0" t="s">
        <v>224</v>
      </c>
    </row>
    <row r="70" customFormat="false" ht="12.8" hidden="true" customHeight="false" outlineLevel="0" collapsed="false">
      <c r="A70" s="0" t="n">
        <v>9470</v>
      </c>
      <c r="B70" s="0" t="s">
        <v>225</v>
      </c>
      <c r="E70" s="0" t="s">
        <v>17</v>
      </c>
      <c r="F70" s="0" t="s">
        <v>35</v>
      </c>
      <c r="G70" s="0" t="n">
        <v>45</v>
      </c>
      <c r="H70" s="0" t="s">
        <v>52</v>
      </c>
      <c r="I70" s="0" t="s">
        <v>20</v>
      </c>
      <c r="J70" s="0" t="n">
        <f aca="false">IF(I70=" ALARM",1,0)</f>
        <v>1</v>
      </c>
      <c r="K70" s="0" t="s">
        <v>20</v>
      </c>
      <c r="L70" s="0" t="n">
        <f aca="false">IF(K70=" ALARM",1,0)</f>
        <v>1</v>
      </c>
      <c r="M70" s="0" t="s">
        <v>20</v>
      </c>
      <c r="N70" s="0" t="n">
        <f aca="false">IF(M70=" ALARM",1,0)</f>
        <v>1</v>
      </c>
      <c r="O70" s="0" t="s">
        <v>226</v>
      </c>
      <c r="P70" s="0" t="s">
        <v>227</v>
      </c>
    </row>
    <row r="71" customFormat="false" ht="12.8" hidden="true" customHeight="false" outlineLevel="0" collapsed="false">
      <c r="A71" s="0" t="n">
        <v>9475</v>
      </c>
      <c r="B71" s="0" t="s">
        <v>228</v>
      </c>
      <c r="E71" s="0" t="s">
        <v>17</v>
      </c>
      <c r="F71" s="0" t="s">
        <v>36</v>
      </c>
      <c r="G71" s="0" t="n">
        <v>45</v>
      </c>
      <c r="H71" s="0" t="s">
        <v>52</v>
      </c>
      <c r="I71" s="0" t="s">
        <v>21</v>
      </c>
      <c r="J71" s="0" t="n">
        <f aca="false">IF(I71=" ALARM",1,0)</f>
        <v>0</v>
      </c>
      <c r="K71" s="0" t="s">
        <v>21</v>
      </c>
      <c r="L71" s="0" t="n">
        <f aca="false">IF(K71=" ALARM",1,0)</f>
        <v>0</v>
      </c>
      <c r="M71" s="0" t="s">
        <v>20</v>
      </c>
      <c r="N71" s="0" t="n">
        <f aca="false">IF(M71=" ALARM",1,0)</f>
        <v>1</v>
      </c>
      <c r="O71" s="0" t="s">
        <v>218</v>
      </c>
      <c r="P71" s="0" t="s">
        <v>218</v>
      </c>
    </row>
    <row r="72" customFormat="false" ht="12.8" hidden="true" customHeight="false" outlineLevel="0" collapsed="false">
      <c r="A72" s="0" t="n">
        <v>12206</v>
      </c>
      <c r="B72" s="0" t="s">
        <v>229</v>
      </c>
      <c r="E72" s="0" t="s">
        <v>17</v>
      </c>
      <c r="F72" s="0" t="s">
        <v>36</v>
      </c>
      <c r="G72" s="0" t="n">
        <v>45</v>
      </c>
      <c r="H72" s="0" t="s">
        <v>52</v>
      </c>
      <c r="I72" s="0" t="s">
        <v>30</v>
      </c>
      <c r="J72" s="0" t="n">
        <f aca="false">IF(I72=" ALARM",1,0)</f>
        <v>0</v>
      </c>
      <c r="K72" s="0" t="s">
        <v>20</v>
      </c>
      <c r="L72" s="0" t="n">
        <f aca="false">IF(K72=" ALARM",1,0)</f>
        <v>1</v>
      </c>
      <c r="M72" s="0" t="s">
        <v>20</v>
      </c>
      <c r="N72" s="0" t="n">
        <f aca="false">IF(M72=" ALARM",1,0)</f>
        <v>1</v>
      </c>
      <c r="O72" s="0" t="s">
        <v>230</v>
      </c>
      <c r="P72" s="0" t="s">
        <v>231</v>
      </c>
    </row>
    <row r="73" customFormat="false" ht="12.8" hidden="true" customHeight="false" outlineLevel="0" collapsed="false">
      <c r="A73" s="0" t="n">
        <v>12214</v>
      </c>
      <c r="B73" s="0" t="s">
        <v>232</v>
      </c>
      <c r="E73" s="0" t="s">
        <v>17</v>
      </c>
      <c r="F73" s="0" t="s">
        <v>97</v>
      </c>
      <c r="G73" s="0" t="n">
        <v>45</v>
      </c>
      <c r="H73" s="0" t="s">
        <v>52</v>
      </c>
      <c r="I73" s="0" t="s">
        <v>20</v>
      </c>
      <c r="J73" s="0" t="n">
        <f aca="false">IF(I73=" ALARM",1,0)</f>
        <v>1</v>
      </c>
      <c r="K73" s="0" t="s">
        <v>20</v>
      </c>
      <c r="L73" s="0" t="n">
        <f aca="false">IF(K73=" ALARM",1,0)</f>
        <v>1</v>
      </c>
      <c r="M73" s="0" t="s">
        <v>20</v>
      </c>
      <c r="N73" s="0" t="n">
        <f aca="false">IF(M73=" ALARM",1,0)</f>
        <v>1</v>
      </c>
      <c r="O73" s="0" t="s">
        <v>233</v>
      </c>
      <c r="P73" s="0" t="s">
        <v>234</v>
      </c>
    </row>
    <row r="74" customFormat="false" ht="12.8" hidden="true" customHeight="false" outlineLevel="0" collapsed="false">
      <c r="A74" s="0" t="n">
        <v>14159</v>
      </c>
      <c r="B74" s="0" t="s">
        <v>235</v>
      </c>
      <c r="E74" s="0" t="s">
        <v>17</v>
      </c>
      <c r="F74" s="0" t="s">
        <v>35</v>
      </c>
      <c r="G74" s="0" t="n">
        <v>45</v>
      </c>
      <c r="H74" s="0" t="s">
        <v>52</v>
      </c>
      <c r="I74" s="0" t="s">
        <v>20</v>
      </c>
      <c r="J74" s="0" t="n">
        <f aca="false">IF(I74=" ALARM",1,0)</f>
        <v>1</v>
      </c>
      <c r="K74" s="0" t="s">
        <v>20</v>
      </c>
      <c r="L74" s="0" t="n">
        <f aca="false">IF(K74=" ALARM",1,0)</f>
        <v>1</v>
      </c>
      <c r="M74" s="0" t="s">
        <v>20</v>
      </c>
      <c r="N74" s="0" t="n">
        <f aca="false">IF(M74=" ALARM",1,0)</f>
        <v>1</v>
      </c>
      <c r="O74" s="0" t="s">
        <v>236</v>
      </c>
      <c r="P74" s="0" t="s">
        <v>237</v>
      </c>
    </row>
    <row r="75" customFormat="false" ht="12.8" hidden="true" customHeight="false" outlineLevel="0" collapsed="false">
      <c r="A75" s="0" t="n">
        <v>15230</v>
      </c>
      <c r="B75" s="0" t="s">
        <v>238</v>
      </c>
      <c r="E75" s="0" t="s">
        <v>17</v>
      </c>
      <c r="F75" s="0" t="s">
        <v>97</v>
      </c>
      <c r="G75" s="0" t="n">
        <v>45</v>
      </c>
      <c r="H75" s="0" t="s">
        <v>52</v>
      </c>
      <c r="I75" s="0" t="s">
        <v>20</v>
      </c>
      <c r="J75" s="0" t="n">
        <f aca="false">IF(I75=" ALARM",1,0)</f>
        <v>1</v>
      </c>
      <c r="K75" s="0" t="s">
        <v>20</v>
      </c>
      <c r="L75" s="0" t="n">
        <f aca="false">IF(K75=" ALARM",1,0)</f>
        <v>1</v>
      </c>
      <c r="M75" s="0" t="s">
        <v>20</v>
      </c>
      <c r="N75" s="0" t="n">
        <f aca="false">IF(M75=" ALARM",1,0)</f>
        <v>1</v>
      </c>
      <c r="O75" s="0" t="s">
        <v>239</v>
      </c>
      <c r="P75" s="0" t="s">
        <v>240</v>
      </c>
    </row>
    <row r="76" customFormat="false" ht="12.8" hidden="true" customHeight="false" outlineLevel="0" collapsed="false">
      <c r="A76" s="0" t="n">
        <v>5596</v>
      </c>
      <c r="B76" s="0" t="s">
        <v>241</v>
      </c>
      <c r="E76" s="0" t="s">
        <v>17</v>
      </c>
      <c r="F76" s="0" t="s">
        <v>18</v>
      </c>
      <c r="G76" s="0" t="n">
        <v>55</v>
      </c>
      <c r="H76" s="0" t="s">
        <v>36</v>
      </c>
      <c r="I76" s="0" t="s">
        <v>20</v>
      </c>
      <c r="J76" s="0" t="n">
        <f aca="false">IF(I76=" ALARM",1,0)</f>
        <v>1</v>
      </c>
      <c r="K76" s="0" t="s">
        <v>20</v>
      </c>
      <c r="L76" s="0" t="n">
        <f aca="false">IF(K76=" ALARM",1,0)</f>
        <v>1</v>
      </c>
      <c r="M76" s="0" t="s">
        <v>30</v>
      </c>
      <c r="N76" s="0" t="n">
        <f aca="false">IF(M76=" ALARM",1,0)</f>
        <v>0</v>
      </c>
      <c r="O76" s="0" t="s">
        <v>242</v>
      </c>
      <c r="P76" s="0" t="s">
        <v>243</v>
      </c>
      <c r="Q76" s="0" t="s">
        <v>244</v>
      </c>
    </row>
    <row r="77" customFormat="false" ht="12.8" hidden="true" customHeight="false" outlineLevel="0" collapsed="false">
      <c r="A77" s="0" t="n">
        <v>5595</v>
      </c>
      <c r="B77" s="0" t="s">
        <v>245</v>
      </c>
      <c r="E77" s="0" t="s">
        <v>17</v>
      </c>
      <c r="F77" s="0" t="s">
        <v>18</v>
      </c>
      <c r="G77" s="0" t="n">
        <v>55</v>
      </c>
      <c r="H77" s="0" t="s">
        <v>36</v>
      </c>
      <c r="I77" s="0" t="s">
        <v>20</v>
      </c>
      <c r="J77" s="0" t="n">
        <f aca="false">IF(I77=" ALARM",1,0)</f>
        <v>1</v>
      </c>
      <c r="K77" s="0" t="s">
        <v>20</v>
      </c>
      <c r="L77" s="0" t="n">
        <f aca="false">IF(K77=" ALARM",1,0)</f>
        <v>1</v>
      </c>
      <c r="M77" s="0" t="s">
        <v>30</v>
      </c>
      <c r="N77" s="0" t="n">
        <f aca="false">IF(M77=" ALARM",1,0)</f>
        <v>0</v>
      </c>
      <c r="O77" s="0" t="s">
        <v>246</v>
      </c>
      <c r="P77" s="0" t="s">
        <v>247</v>
      </c>
      <c r="Q77" s="0" t="s">
        <v>244</v>
      </c>
    </row>
    <row r="78" customFormat="false" ht="12.8" hidden="true" customHeight="false" outlineLevel="0" collapsed="false">
      <c r="A78" s="0" t="n">
        <v>7357</v>
      </c>
      <c r="B78" s="0" t="s">
        <v>248</v>
      </c>
      <c r="E78" s="0" t="s">
        <v>17</v>
      </c>
      <c r="F78" s="0" t="s">
        <v>18</v>
      </c>
      <c r="G78" s="0" t="n">
        <v>62</v>
      </c>
      <c r="H78" s="0" t="s">
        <v>52</v>
      </c>
      <c r="I78" s="0" t="s">
        <v>21</v>
      </c>
      <c r="J78" s="0" t="n">
        <f aca="false">IF(I78=" ALARM",1,0)</f>
        <v>0</v>
      </c>
      <c r="K78" s="0" t="s">
        <v>21</v>
      </c>
      <c r="L78" s="0" t="n">
        <f aca="false">IF(K78=" ALARM",1,0)</f>
        <v>0</v>
      </c>
      <c r="M78" s="0" t="s">
        <v>21</v>
      </c>
      <c r="N78" s="0" t="n">
        <f aca="false">IF(M78=" ALARM",1,0)</f>
        <v>0</v>
      </c>
      <c r="O78" s="0" t="s">
        <v>249</v>
      </c>
      <c r="P78" s="0" t="s">
        <v>249</v>
      </c>
    </row>
    <row r="79" customFormat="false" ht="12.8" hidden="true" customHeight="false" outlineLevel="0" collapsed="false">
      <c r="A79" s="0" t="n">
        <v>8661</v>
      </c>
      <c r="B79" s="0" t="s">
        <v>250</v>
      </c>
      <c r="E79" s="0" t="s">
        <v>17</v>
      </c>
      <c r="F79" s="0" t="s">
        <v>35</v>
      </c>
      <c r="G79" s="0" t="n">
        <v>83</v>
      </c>
      <c r="H79" s="0" t="s">
        <v>52</v>
      </c>
      <c r="I79" s="0" t="s">
        <v>20</v>
      </c>
      <c r="J79" s="0" t="n">
        <f aca="false">IF(I79=" ALARM",1,0)</f>
        <v>1</v>
      </c>
      <c r="K79" s="0" t="s">
        <v>20</v>
      </c>
      <c r="L79" s="0" t="n">
        <f aca="false">IF(K79=" ALARM",1,0)</f>
        <v>1</v>
      </c>
      <c r="M79" s="0" t="s">
        <v>20</v>
      </c>
      <c r="N79" s="0" t="n">
        <f aca="false">IF(M79=" ALARM",1,0)</f>
        <v>1</v>
      </c>
      <c r="O79" s="0" t="s">
        <v>251</v>
      </c>
      <c r="P79" s="0" t="s">
        <v>252</v>
      </c>
      <c r="Q79" s="0" t="s">
        <v>253</v>
      </c>
    </row>
    <row r="80" customFormat="false" ht="12.8" hidden="true" customHeight="false" outlineLevel="0" collapsed="false">
      <c r="A80" s="0" t="n">
        <v>9627</v>
      </c>
      <c r="B80" s="0" t="s">
        <v>254</v>
      </c>
      <c r="E80" s="0" t="s">
        <v>17</v>
      </c>
      <c r="F80" s="0" t="s">
        <v>36</v>
      </c>
      <c r="G80" s="0" t="n">
        <v>83</v>
      </c>
      <c r="H80" s="0" t="s">
        <v>52</v>
      </c>
      <c r="I80" s="0" t="s">
        <v>20</v>
      </c>
      <c r="J80" s="0" t="n">
        <f aca="false">IF(I80=" ALARM",1,0)</f>
        <v>1</v>
      </c>
      <c r="K80" s="0" t="s">
        <v>20</v>
      </c>
      <c r="L80" s="0" t="n">
        <f aca="false">IF(K80=" ALARM",1,0)</f>
        <v>1</v>
      </c>
      <c r="M80" s="0" t="s">
        <v>20</v>
      </c>
      <c r="N80" s="0" t="n">
        <f aca="false">IF(M80=" ALARM",1,0)</f>
        <v>1</v>
      </c>
      <c r="O80" s="0" t="s">
        <v>255</v>
      </c>
      <c r="P80" s="0" t="s">
        <v>256</v>
      </c>
      <c r="Q80" s="0" t="s">
        <v>257</v>
      </c>
    </row>
    <row r="81" customFormat="false" ht="12.8" hidden="true" customHeight="false" outlineLevel="0" collapsed="false">
      <c r="A81" s="0" t="n">
        <v>12618</v>
      </c>
      <c r="B81" s="0" t="s">
        <v>258</v>
      </c>
      <c r="E81" s="0" t="s">
        <v>17</v>
      </c>
      <c r="F81" s="0" t="s">
        <v>35</v>
      </c>
      <c r="G81" s="0" t="n">
        <v>83</v>
      </c>
      <c r="H81" s="0" t="s">
        <v>52</v>
      </c>
      <c r="I81" s="0" t="s">
        <v>20</v>
      </c>
      <c r="J81" s="0" t="n">
        <f aca="false">IF(I81=" ALARM",1,0)</f>
        <v>1</v>
      </c>
      <c r="K81" s="0" t="s">
        <v>20</v>
      </c>
      <c r="L81" s="0" t="n">
        <f aca="false">IF(K81=" ALARM",1,0)</f>
        <v>1</v>
      </c>
      <c r="M81" s="0" t="s">
        <v>20</v>
      </c>
      <c r="N81" s="0" t="n">
        <f aca="false">IF(M81=" ALARM",1,0)</f>
        <v>1</v>
      </c>
      <c r="O81" s="0" t="s">
        <v>259</v>
      </c>
      <c r="P81" s="0" t="s">
        <v>260</v>
      </c>
      <c r="Q81" s="0" t="s">
        <v>257</v>
      </c>
    </row>
    <row r="82" customFormat="false" ht="12.8" hidden="true" customHeight="false" outlineLevel="0" collapsed="false">
      <c r="A82" s="0" t="n">
        <v>12629</v>
      </c>
      <c r="B82" s="0" t="s">
        <v>261</v>
      </c>
      <c r="E82" s="0" t="s">
        <v>17</v>
      </c>
      <c r="F82" s="0" t="s">
        <v>35</v>
      </c>
      <c r="G82" s="0" t="n">
        <v>83</v>
      </c>
      <c r="H82" s="0" t="s">
        <v>52</v>
      </c>
      <c r="I82" s="0" t="s">
        <v>20</v>
      </c>
      <c r="J82" s="0" t="n">
        <f aca="false">IF(I82=" ALARM",1,0)</f>
        <v>1</v>
      </c>
      <c r="K82" s="0" t="s">
        <v>20</v>
      </c>
      <c r="L82" s="0" t="n">
        <f aca="false">IF(K82=" ALARM",1,0)</f>
        <v>1</v>
      </c>
      <c r="M82" s="0" t="s">
        <v>20</v>
      </c>
      <c r="N82" s="0" t="n">
        <f aca="false">IF(M82=" ALARM",1,0)</f>
        <v>1</v>
      </c>
      <c r="O82" s="0" t="s">
        <v>262</v>
      </c>
      <c r="P82" s="0" t="s">
        <v>263</v>
      </c>
      <c r="Q82" s="0" t="s">
        <v>264</v>
      </c>
    </row>
    <row r="83" customFormat="false" ht="12.8" hidden="true" customHeight="false" outlineLevel="0" collapsed="false">
      <c r="A83" s="0" t="n">
        <v>15039</v>
      </c>
      <c r="B83" s="0" t="s">
        <v>265</v>
      </c>
      <c r="E83" s="0" t="s">
        <v>17</v>
      </c>
      <c r="F83" s="0" t="s">
        <v>35</v>
      </c>
      <c r="G83" s="0" t="n">
        <v>83</v>
      </c>
      <c r="H83" s="0" t="s">
        <v>52</v>
      </c>
      <c r="I83" s="0" t="s">
        <v>20</v>
      </c>
      <c r="J83" s="0" t="n">
        <f aca="false">IF(I83=" ALARM",1,0)</f>
        <v>1</v>
      </c>
      <c r="K83" s="0" t="s">
        <v>20</v>
      </c>
      <c r="L83" s="0" t="n">
        <f aca="false">IF(K83=" ALARM",1,0)</f>
        <v>1</v>
      </c>
      <c r="M83" s="0" t="s">
        <v>30</v>
      </c>
      <c r="N83" s="0" t="n">
        <f aca="false">IF(M83=" ALARM",1,0)</f>
        <v>0</v>
      </c>
      <c r="O83" s="0" t="s">
        <v>266</v>
      </c>
      <c r="P83" s="0" t="s">
        <v>267</v>
      </c>
      <c r="Q83" s="0" t="s">
        <v>257</v>
      </c>
    </row>
    <row r="84" customFormat="false" ht="12.8" hidden="true" customHeight="false" outlineLevel="0" collapsed="false">
      <c r="A84" s="0" t="n">
        <v>15417</v>
      </c>
      <c r="B84" s="0" t="s">
        <v>268</v>
      </c>
      <c r="E84" s="0" t="s">
        <v>17</v>
      </c>
      <c r="F84" s="0" t="s">
        <v>35</v>
      </c>
      <c r="G84" s="0" t="n">
        <v>157</v>
      </c>
      <c r="H84" s="0" t="s">
        <v>52</v>
      </c>
      <c r="I84" s="0" t="s">
        <v>30</v>
      </c>
      <c r="J84" s="0" t="n">
        <f aca="false">IF(I84=" ALARM",1,0)</f>
        <v>0</v>
      </c>
      <c r="K84" s="0" t="s">
        <v>20</v>
      </c>
      <c r="L84" s="0" t="n">
        <f aca="false">IF(K84=" ALARM",1,0)</f>
        <v>1</v>
      </c>
      <c r="M84" s="0" t="s">
        <v>21</v>
      </c>
      <c r="N84" s="0" t="n">
        <f aca="false">IF(M84=" ALARM",1,0)</f>
        <v>0</v>
      </c>
      <c r="O84" s="0" t="s">
        <v>269</v>
      </c>
      <c r="P84" s="0" t="s">
        <v>270</v>
      </c>
      <c r="Q84" s="0" t="s">
        <v>271</v>
      </c>
    </row>
    <row r="85" customFormat="false" ht="12.8" hidden="true" customHeight="false" outlineLevel="0" collapsed="false">
      <c r="A85" s="0" t="n">
        <v>21458</v>
      </c>
      <c r="B85" s="0" t="s">
        <v>272</v>
      </c>
      <c r="E85" s="0" t="s">
        <v>17</v>
      </c>
      <c r="F85" s="0" t="s">
        <v>18</v>
      </c>
      <c r="G85" s="0" t="n">
        <v>39</v>
      </c>
      <c r="H85" s="0" t="s">
        <v>52</v>
      </c>
      <c r="I85" s="0" t="s">
        <v>20</v>
      </c>
      <c r="J85" s="0" t="n">
        <f aca="false">IF(I85=" ALARM",1,0)</f>
        <v>1</v>
      </c>
      <c r="K85" s="0" t="s">
        <v>20</v>
      </c>
      <c r="L85" s="0" t="n">
        <f aca="false">IF(K85=" ALARM",1,0)</f>
        <v>1</v>
      </c>
      <c r="M85" s="0" t="s">
        <v>21</v>
      </c>
      <c r="N85" s="0" t="n">
        <f aca="false">IF(M85=" ALARM",1,0)</f>
        <v>0</v>
      </c>
      <c r="O85" s="0" t="s">
        <v>273</v>
      </c>
      <c r="P85" s="0" t="s">
        <v>274</v>
      </c>
      <c r="Q85" s="0" t="s">
        <v>275</v>
      </c>
    </row>
    <row r="86" customFormat="false" ht="12.8" hidden="true" customHeight="false" outlineLevel="0" collapsed="false">
      <c r="A86" s="0" t="n">
        <v>21561</v>
      </c>
      <c r="B86" s="0" t="s">
        <v>276</v>
      </c>
      <c r="E86" s="0" t="s">
        <v>17</v>
      </c>
      <c r="F86" s="0" t="s">
        <v>18</v>
      </c>
      <c r="G86" s="0" t="n">
        <v>39</v>
      </c>
      <c r="H86" s="0" t="s">
        <v>52</v>
      </c>
      <c r="I86" s="0" t="s">
        <v>20</v>
      </c>
      <c r="J86" s="0" t="n">
        <f aca="false">IF(I86=" ALARM",1,0)</f>
        <v>1</v>
      </c>
      <c r="K86" s="0" t="s">
        <v>20</v>
      </c>
      <c r="L86" s="0" t="n">
        <f aca="false">IF(K86=" ALARM",1,0)</f>
        <v>1</v>
      </c>
      <c r="M86" s="0" t="s">
        <v>20</v>
      </c>
      <c r="N86" s="0" t="n">
        <f aca="false">IF(M86=" ALARM",1,0)</f>
        <v>1</v>
      </c>
      <c r="O86" s="0" t="s">
        <v>277</v>
      </c>
      <c r="P86" s="0" t="s">
        <v>278</v>
      </c>
      <c r="Q86" s="0" t="s">
        <v>279</v>
      </c>
    </row>
    <row r="87" customFormat="false" ht="12.8" hidden="true" customHeight="false" outlineLevel="0" collapsed="false">
      <c r="A87" s="0" t="n">
        <v>21569</v>
      </c>
      <c r="B87" s="0" t="s">
        <v>280</v>
      </c>
      <c r="E87" s="0" t="s">
        <v>17</v>
      </c>
      <c r="F87" s="0" t="s">
        <v>18</v>
      </c>
      <c r="G87" s="0" t="n">
        <v>39</v>
      </c>
      <c r="H87" s="0" t="s">
        <v>52</v>
      </c>
      <c r="I87" s="0" t="s">
        <v>20</v>
      </c>
      <c r="J87" s="0" t="n">
        <f aca="false">IF(I87=" ALARM",1,0)</f>
        <v>1</v>
      </c>
      <c r="K87" s="0" t="s">
        <v>20</v>
      </c>
      <c r="L87" s="0" t="n">
        <f aca="false">IF(K87=" ALARM",1,0)</f>
        <v>1</v>
      </c>
      <c r="M87" s="0" t="s">
        <v>20</v>
      </c>
      <c r="N87" s="0" t="n">
        <f aca="false">IF(M87=" ALARM",1,0)</f>
        <v>1</v>
      </c>
      <c r="O87" s="0" t="s">
        <v>281</v>
      </c>
      <c r="P87" s="0" t="s">
        <v>282</v>
      </c>
      <c r="Q87" s="0" t="s">
        <v>279</v>
      </c>
    </row>
    <row r="88" customFormat="false" ht="12.8" hidden="true" customHeight="false" outlineLevel="0" collapsed="false">
      <c r="A88" s="0" t="n">
        <v>24380</v>
      </c>
      <c r="B88" s="0" t="s">
        <v>283</v>
      </c>
      <c r="E88" s="0" t="s">
        <v>17</v>
      </c>
      <c r="F88" s="0" t="s">
        <v>35</v>
      </c>
      <c r="G88" s="0" t="n">
        <v>8</v>
      </c>
      <c r="H88" s="0" t="s">
        <v>52</v>
      </c>
      <c r="I88" s="0" t="s">
        <v>20</v>
      </c>
      <c r="J88" s="0" t="n">
        <f aca="false">IF(I88=" ALARM",1,0)</f>
        <v>1</v>
      </c>
      <c r="K88" s="0" t="s">
        <v>20</v>
      </c>
      <c r="L88" s="0" t="n">
        <f aca="false">IF(K88=" ALARM",1,0)</f>
        <v>1</v>
      </c>
      <c r="M88" s="0" t="s">
        <v>20</v>
      </c>
      <c r="N88" s="0" t="n">
        <f aca="false">IF(M88=" ALARM",1,0)</f>
        <v>1</v>
      </c>
      <c r="O88" s="0" t="s">
        <v>284</v>
      </c>
      <c r="P88" s="0" t="s">
        <v>285</v>
      </c>
    </row>
    <row r="89" customFormat="false" ht="12.8" hidden="true" customHeight="false" outlineLevel="0" collapsed="false">
      <c r="A89" s="0" t="n">
        <v>26071</v>
      </c>
      <c r="B89" s="0" t="s">
        <v>286</v>
      </c>
      <c r="E89" s="0" t="s">
        <v>17</v>
      </c>
      <c r="F89" s="0" t="s">
        <v>97</v>
      </c>
      <c r="G89" s="0" t="n">
        <v>8</v>
      </c>
      <c r="H89" s="0" t="s">
        <v>52</v>
      </c>
      <c r="I89" s="0" t="s">
        <v>20</v>
      </c>
      <c r="J89" s="0" t="n">
        <f aca="false">IF(I89=" ALARM",1,0)</f>
        <v>1</v>
      </c>
      <c r="K89" s="0" t="s">
        <v>20</v>
      </c>
      <c r="L89" s="0" t="n">
        <f aca="false">IF(K89=" ALARM",1,0)</f>
        <v>1</v>
      </c>
      <c r="M89" s="0" t="s">
        <v>20</v>
      </c>
      <c r="N89" s="0" t="n">
        <f aca="false">IF(M89=" ALARM",1,0)</f>
        <v>1</v>
      </c>
      <c r="O89" s="0" t="s">
        <v>287</v>
      </c>
      <c r="P89" s="0" t="s">
        <v>288</v>
      </c>
    </row>
    <row r="90" customFormat="false" ht="12.8" hidden="true" customHeight="false" outlineLevel="0" collapsed="false">
      <c r="A90" s="0" t="n">
        <v>26077</v>
      </c>
      <c r="B90" s="0" t="s">
        <v>289</v>
      </c>
      <c r="E90" s="0" t="s">
        <v>17</v>
      </c>
      <c r="F90" s="0" t="s">
        <v>35</v>
      </c>
      <c r="G90" s="0" t="n">
        <v>8</v>
      </c>
      <c r="H90" s="0" t="s">
        <v>52</v>
      </c>
      <c r="I90" s="0" t="s">
        <v>20</v>
      </c>
      <c r="J90" s="0" t="n">
        <f aca="false">IF(I90=" ALARM",1,0)</f>
        <v>1</v>
      </c>
      <c r="K90" s="0" t="s">
        <v>20</v>
      </c>
      <c r="L90" s="0" t="n">
        <f aca="false">IF(K90=" ALARM",1,0)</f>
        <v>1</v>
      </c>
      <c r="M90" s="0" t="s">
        <v>20</v>
      </c>
      <c r="N90" s="0" t="n">
        <f aca="false">IF(M90=" ALARM",1,0)</f>
        <v>1</v>
      </c>
      <c r="O90" s="0" t="s">
        <v>290</v>
      </c>
      <c r="P90" s="0" t="s">
        <v>291</v>
      </c>
    </row>
    <row r="91" customFormat="false" ht="12.8" hidden="true" customHeight="false" outlineLevel="0" collapsed="false">
      <c r="A91" s="0" t="n">
        <v>26988</v>
      </c>
      <c r="B91" s="0" t="s">
        <v>292</v>
      </c>
      <c r="E91" s="0" t="s">
        <v>17</v>
      </c>
      <c r="F91" s="0" t="s">
        <v>97</v>
      </c>
      <c r="G91" s="0" t="n">
        <v>8</v>
      </c>
      <c r="H91" s="0" t="s">
        <v>52</v>
      </c>
      <c r="I91" s="0" t="s">
        <v>21</v>
      </c>
      <c r="J91" s="0" t="n">
        <f aca="false">IF(I91=" ALARM",1,0)</f>
        <v>0</v>
      </c>
      <c r="K91" s="0" t="s">
        <v>20</v>
      </c>
      <c r="L91" s="0" t="n">
        <f aca="false">IF(K91=" ALARM",1,0)</f>
        <v>1</v>
      </c>
      <c r="M91" s="0" t="s">
        <v>20</v>
      </c>
      <c r="N91" s="0" t="n">
        <f aca="false">IF(M91=" ALARM",1,0)</f>
        <v>1</v>
      </c>
      <c r="O91" s="0" t="s">
        <v>293</v>
      </c>
      <c r="P91" s="0" t="s">
        <v>294</v>
      </c>
    </row>
    <row r="92" customFormat="false" ht="12.8" hidden="true" customHeight="false" outlineLevel="0" collapsed="false">
      <c r="A92" s="0" t="n">
        <v>26992</v>
      </c>
      <c r="B92" s="0" t="s">
        <v>295</v>
      </c>
      <c r="E92" s="0" t="s">
        <v>17</v>
      </c>
      <c r="F92" s="0" t="s">
        <v>35</v>
      </c>
      <c r="G92" s="0" t="n">
        <v>8</v>
      </c>
      <c r="H92" s="0" t="s">
        <v>52</v>
      </c>
      <c r="I92" s="0" t="s">
        <v>20</v>
      </c>
      <c r="J92" s="0" t="n">
        <f aca="false">IF(I92=" ALARM",1,0)</f>
        <v>1</v>
      </c>
      <c r="K92" s="0" t="s">
        <v>20</v>
      </c>
      <c r="L92" s="0" t="n">
        <f aca="false">IF(K92=" ALARM",1,0)</f>
        <v>1</v>
      </c>
      <c r="M92" s="0" t="s">
        <v>20</v>
      </c>
      <c r="N92" s="0" t="n">
        <f aca="false">IF(M92=" ALARM",1,0)</f>
        <v>1</v>
      </c>
      <c r="O92" s="0" t="s">
        <v>296</v>
      </c>
      <c r="P92" s="0" t="s">
        <v>297</v>
      </c>
    </row>
    <row r="93" customFormat="false" ht="12.8" hidden="true" customHeight="false" outlineLevel="0" collapsed="false">
      <c r="A93" s="0" t="n">
        <v>28725</v>
      </c>
      <c r="B93" s="0" t="s">
        <v>298</v>
      </c>
      <c r="E93" s="0" t="s">
        <v>17</v>
      </c>
      <c r="F93" s="0" t="s">
        <v>97</v>
      </c>
      <c r="G93" s="0" t="n">
        <v>236</v>
      </c>
      <c r="H93" s="0" t="s">
        <v>52</v>
      </c>
      <c r="I93" s="0" t="s">
        <v>21</v>
      </c>
      <c r="J93" s="0" t="n">
        <f aca="false">IF(I93=" ALARM",1,0)</f>
        <v>0</v>
      </c>
      <c r="K93" s="0" t="s">
        <v>21</v>
      </c>
      <c r="L93" s="0" t="n">
        <f aca="false">IF(K93=" ALARM",1,0)</f>
        <v>0</v>
      </c>
      <c r="M93" s="0" t="s">
        <v>20</v>
      </c>
      <c r="N93" s="0" t="n">
        <f aca="false">IF(M93=" ALARM",1,0)</f>
        <v>1</v>
      </c>
      <c r="O93" s="0" t="s">
        <v>119</v>
      </c>
      <c r="P93" s="0" t="s">
        <v>119</v>
      </c>
    </row>
    <row r="94" customFormat="false" ht="12.8" hidden="true" customHeight="false" outlineLevel="0" collapsed="false">
      <c r="A94" s="0" t="n">
        <v>28734</v>
      </c>
      <c r="B94" s="0" t="s">
        <v>299</v>
      </c>
      <c r="E94" s="0" t="s">
        <v>17</v>
      </c>
      <c r="F94" s="0" t="s">
        <v>97</v>
      </c>
      <c r="G94" s="0" t="n">
        <v>236</v>
      </c>
      <c r="H94" s="0" t="s">
        <v>52</v>
      </c>
      <c r="I94" s="0" t="s">
        <v>21</v>
      </c>
      <c r="J94" s="0" t="n">
        <f aca="false">IF(I94=" ALARM",1,0)</f>
        <v>0</v>
      </c>
      <c r="K94" s="0" t="s">
        <v>20</v>
      </c>
      <c r="L94" s="0" t="n">
        <f aca="false">IF(K94=" ALARM",1,0)</f>
        <v>1</v>
      </c>
      <c r="M94" s="0" t="s">
        <v>20</v>
      </c>
      <c r="N94" s="0" t="n">
        <f aca="false">IF(M94=" ALARM",1,0)</f>
        <v>1</v>
      </c>
      <c r="O94" s="0" t="s">
        <v>168</v>
      </c>
      <c r="P94" s="0" t="s">
        <v>169</v>
      </c>
    </row>
    <row r="95" customFormat="false" ht="12.8" hidden="true" customHeight="false" outlineLevel="0" collapsed="false">
      <c r="A95" s="0" t="n">
        <v>119</v>
      </c>
      <c r="B95" s="0" t="s">
        <v>300</v>
      </c>
      <c r="E95" s="0" t="s">
        <v>17</v>
      </c>
      <c r="F95" s="0" t="s">
        <v>35</v>
      </c>
      <c r="G95" s="0" t="n">
        <v>39</v>
      </c>
      <c r="H95" s="0" t="s">
        <v>52</v>
      </c>
      <c r="I95" s="0" t="s">
        <v>20</v>
      </c>
      <c r="J95" s="0" t="n">
        <f aca="false">IF(I95=" ALARM",1,0)</f>
        <v>1</v>
      </c>
      <c r="K95" s="0" t="s">
        <v>20</v>
      </c>
      <c r="L95" s="0" t="n">
        <f aca="false">IF(K95=" ALARM",1,0)</f>
        <v>1</v>
      </c>
      <c r="M95" s="0" t="s">
        <v>20</v>
      </c>
      <c r="N95" s="0" t="n">
        <f aca="false">IF(M95=" ALARM",1,0)</f>
        <v>1</v>
      </c>
      <c r="O95" s="0" t="s">
        <v>301</v>
      </c>
      <c r="P95" s="0" t="s">
        <v>302</v>
      </c>
    </row>
    <row r="96" customFormat="false" ht="12.8" hidden="true" customHeight="false" outlineLevel="0" collapsed="false">
      <c r="A96" s="0" t="n">
        <v>31339</v>
      </c>
      <c r="B96" s="0" t="s">
        <v>303</v>
      </c>
      <c r="E96" s="0" t="s">
        <v>17</v>
      </c>
      <c r="F96" s="0" t="s">
        <v>97</v>
      </c>
      <c r="G96" s="0" t="n">
        <v>8</v>
      </c>
      <c r="H96" s="0" t="s">
        <v>52</v>
      </c>
      <c r="I96" s="0" t="s">
        <v>20</v>
      </c>
      <c r="J96" s="0" t="n">
        <f aca="false">IF(I96=" ALARM",1,0)</f>
        <v>1</v>
      </c>
      <c r="K96" s="0" t="s">
        <v>20</v>
      </c>
      <c r="L96" s="0" t="n">
        <f aca="false">IF(K96=" ALARM",1,0)</f>
        <v>1</v>
      </c>
      <c r="M96" s="0" t="s">
        <v>20</v>
      </c>
      <c r="N96" s="0" t="n">
        <f aca="false">IF(M96=" ALARM",1,0)</f>
        <v>1</v>
      </c>
      <c r="O96" s="0" t="s">
        <v>304</v>
      </c>
      <c r="P96" s="0" t="s">
        <v>305</v>
      </c>
    </row>
    <row r="97" customFormat="false" ht="12.8" hidden="true" customHeight="false" outlineLevel="0" collapsed="false">
      <c r="A97" s="0" t="n">
        <v>31397</v>
      </c>
      <c r="B97" s="0" t="s">
        <v>306</v>
      </c>
      <c r="E97" s="0" t="s">
        <v>17</v>
      </c>
      <c r="F97" s="0" t="s">
        <v>18</v>
      </c>
      <c r="G97" s="0" t="n">
        <v>39</v>
      </c>
      <c r="H97" s="0" t="s">
        <v>52</v>
      </c>
      <c r="I97" s="0" t="s">
        <v>21</v>
      </c>
      <c r="J97" s="0" t="n">
        <f aca="false">IF(I97=" ALARM",1,0)</f>
        <v>0</v>
      </c>
      <c r="K97" s="0" t="s">
        <v>21</v>
      </c>
      <c r="L97" s="0" t="n">
        <f aca="false">IF(K97=" ALARM",1,0)</f>
        <v>0</v>
      </c>
      <c r="M97" s="0" t="s">
        <v>20</v>
      </c>
      <c r="N97" s="0" t="n">
        <f aca="false">IF(M97=" ALARM",1,0)</f>
        <v>1</v>
      </c>
      <c r="O97" s="0" t="s">
        <v>119</v>
      </c>
      <c r="P97" s="0" t="s">
        <v>119</v>
      </c>
      <c r="Q97" s="0" t="s">
        <v>307</v>
      </c>
    </row>
    <row r="98" customFormat="false" ht="12.8" hidden="true" customHeight="false" outlineLevel="0" collapsed="false">
      <c r="A98" s="0" t="n">
        <v>31420</v>
      </c>
      <c r="B98" s="0" t="s">
        <v>308</v>
      </c>
      <c r="E98" s="0" t="s">
        <v>17</v>
      </c>
      <c r="F98" s="0" t="s">
        <v>18</v>
      </c>
      <c r="G98" s="0" t="n">
        <v>39</v>
      </c>
      <c r="H98" s="0" t="s">
        <v>52</v>
      </c>
      <c r="I98" s="0" t="s">
        <v>20</v>
      </c>
      <c r="J98" s="0" t="n">
        <f aca="false">IF(I98=" ALARM",1,0)</f>
        <v>1</v>
      </c>
      <c r="K98" s="0" t="s">
        <v>20</v>
      </c>
      <c r="L98" s="0" t="n">
        <f aca="false">IF(K98=" ALARM",1,0)</f>
        <v>1</v>
      </c>
      <c r="M98" s="0" t="s">
        <v>30</v>
      </c>
      <c r="N98" s="0" t="n">
        <f aca="false">IF(M98=" ALARM",1,0)</f>
        <v>0</v>
      </c>
      <c r="O98" s="0" t="s">
        <v>309</v>
      </c>
      <c r="P98" s="0" t="s">
        <v>310</v>
      </c>
      <c r="Q98" s="0" t="s">
        <v>311</v>
      </c>
    </row>
    <row r="99" customFormat="false" ht="12.8" hidden="true" customHeight="false" outlineLevel="0" collapsed="false">
      <c r="A99" s="0" t="n">
        <v>31421</v>
      </c>
      <c r="B99" s="0" t="s">
        <v>312</v>
      </c>
      <c r="E99" s="0" t="s">
        <v>17</v>
      </c>
      <c r="F99" s="0" t="s">
        <v>18</v>
      </c>
      <c r="G99" s="0" t="n">
        <v>39</v>
      </c>
      <c r="H99" s="0" t="s">
        <v>52</v>
      </c>
      <c r="I99" s="0" t="s">
        <v>20</v>
      </c>
      <c r="J99" s="0" t="n">
        <f aca="false">IF(I99=" ALARM",1,0)</f>
        <v>1</v>
      </c>
      <c r="K99" s="0" t="s">
        <v>20</v>
      </c>
      <c r="L99" s="0" t="n">
        <f aca="false">IF(K99=" ALARM",1,0)</f>
        <v>1</v>
      </c>
      <c r="M99" s="0" t="s">
        <v>30</v>
      </c>
      <c r="N99" s="0" t="n">
        <f aca="false">IF(M99=" ALARM",1,0)</f>
        <v>0</v>
      </c>
      <c r="O99" s="0" t="s">
        <v>313</v>
      </c>
      <c r="P99" s="0" t="s">
        <v>314</v>
      </c>
      <c r="Q99" s="0" t="s">
        <v>311</v>
      </c>
    </row>
    <row r="100" customFormat="false" ht="12.8" hidden="true" customHeight="false" outlineLevel="0" collapsed="false">
      <c r="A100" s="0" t="n">
        <v>34756</v>
      </c>
      <c r="B100" s="0" t="s">
        <v>315</v>
      </c>
      <c r="E100" s="0" t="s">
        <v>17</v>
      </c>
      <c r="F100" s="0" t="s">
        <v>18</v>
      </c>
      <c r="G100" s="0" t="n">
        <v>39</v>
      </c>
      <c r="H100" s="0" t="s">
        <v>52</v>
      </c>
      <c r="I100" s="0" t="s">
        <v>20</v>
      </c>
      <c r="J100" s="0" t="n">
        <f aca="false">IF(I100=" ALARM",1,0)</f>
        <v>1</v>
      </c>
      <c r="K100" s="0" t="s">
        <v>20</v>
      </c>
      <c r="L100" s="0" t="n">
        <f aca="false">IF(K100=" ALARM",1,0)</f>
        <v>1</v>
      </c>
      <c r="M100" s="0" t="s">
        <v>30</v>
      </c>
      <c r="N100" s="0" t="n">
        <f aca="false">IF(M100=" ALARM",1,0)</f>
        <v>0</v>
      </c>
      <c r="O100" s="0" t="s">
        <v>316</v>
      </c>
      <c r="P100" s="0" t="s">
        <v>317</v>
      </c>
      <c r="Q100" s="0" t="s">
        <v>318</v>
      </c>
    </row>
    <row r="101" customFormat="false" ht="12.8" hidden="true" customHeight="false" outlineLevel="0" collapsed="false">
      <c r="A101" s="0" t="n">
        <v>34759</v>
      </c>
      <c r="B101" s="0" t="s">
        <v>319</v>
      </c>
      <c r="E101" s="0" t="s">
        <v>17</v>
      </c>
      <c r="F101" s="0" t="s">
        <v>18</v>
      </c>
      <c r="G101" s="0" t="n">
        <v>39</v>
      </c>
      <c r="H101" s="0" t="s">
        <v>52</v>
      </c>
      <c r="I101" s="0" t="s">
        <v>20</v>
      </c>
      <c r="J101" s="0" t="n">
        <f aca="false">IF(I101=" ALARM",1,0)</f>
        <v>1</v>
      </c>
      <c r="K101" s="0" t="s">
        <v>20</v>
      </c>
      <c r="L101" s="0" t="n">
        <f aca="false">IF(K101=" ALARM",1,0)</f>
        <v>1</v>
      </c>
      <c r="M101" s="0" t="s">
        <v>30</v>
      </c>
      <c r="N101" s="0" t="n">
        <f aca="false">IF(M101=" ALARM",1,0)</f>
        <v>0</v>
      </c>
      <c r="O101" s="0" t="s">
        <v>320</v>
      </c>
      <c r="P101" s="0" t="s">
        <v>321</v>
      </c>
      <c r="Q101" s="0" t="s">
        <v>318</v>
      </c>
    </row>
    <row r="102" customFormat="false" ht="12.8" hidden="true" customHeight="false" outlineLevel="0" collapsed="false">
      <c r="A102" s="0" t="n">
        <v>115</v>
      </c>
      <c r="B102" s="0" t="s">
        <v>322</v>
      </c>
      <c r="E102" s="0" t="s">
        <v>17</v>
      </c>
      <c r="F102" s="0" t="s">
        <v>35</v>
      </c>
      <c r="G102" s="0" t="n">
        <v>39</v>
      </c>
      <c r="H102" s="0" t="s">
        <v>52</v>
      </c>
      <c r="I102" s="0" t="s">
        <v>20</v>
      </c>
      <c r="J102" s="0" t="n">
        <f aca="false">IF(I102=" ALARM",1,0)</f>
        <v>1</v>
      </c>
      <c r="K102" s="0" t="s">
        <v>20</v>
      </c>
      <c r="L102" s="0" t="n">
        <f aca="false">IF(K102=" ALARM",1,0)</f>
        <v>1</v>
      </c>
      <c r="M102" s="0" t="s">
        <v>20</v>
      </c>
      <c r="N102" s="0" t="n">
        <f aca="false">IF(M102=" ALARM",1,0)</f>
        <v>1</v>
      </c>
      <c r="O102" s="0" t="s">
        <v>323</v>
      </c>
      <c r="P102" s="0" t="s">
        <v>324</v>
      </c>
      <c r="Q102" s="0" t="s">
        <v>325</v>
      </c>
    </row>
    <row r="103" customFormat="false" ht="12.8" hidden="true" customHeight="false" outlineLevel="0" collapsed="false">
      <c r="A103" s="0" t="n">
        <v>31402</v>
      </c>
      <c r="B103" s="0" t="s">
        <v>326</v>
      </c>
      <c r="E103" s="0" t="s">
        <v>17</v>
      </c>
      <c r="F103" s="0" t="s">
        <v>18</v>
      </c>
      <c r="G103" s="0" t="n">
        <v>39</v>
      </c>
      <c r="H103" s="0" t="s">
        <v>52</v>
      </c>
      <c r="I103" s="0" t="s">
        <v>21</v>
      </c>
      <c r="J103" s="0" t="n">
        <f aca="false">IF(I103=" ALARM",1,0)</f>
        <v>0</v>
      </c>
      <c r="K103" s="0" t="s">
        <v>21</v>
      </c>
      <c r="L103" s="0" t="n">
        <f aca="false">IF(K103=" ALARM",1,0)</f>
        <v>0</v>
      </c>
      <c r="M103" s="0" t="s">
        <v>20</v>
      </c>
      <c r="N103" s="0" t="n">
        <f aca="false">IF(M103=" ALARM",1,0)</f>
        <v>1</v>
      </c>
      <c r="O103" s="0" t="s">
        <v>119</v>
      </c>
      <c r="P103" s="0" t="s">
        <v>119</v>
      </c>
      <c r="Q103" s="0" t="s">
        <v>327</v>
      </c>
    </row>
    <row r="104" customFormat="false" ht="12.8" hidden="true" customHeight="false" outlineLevel="0" collapsed="false">
      <c r="A104" s="0" t="n">
        <v>36812</v>
      </c>
      <c r="B104" s="0" t="s">
        <v>328</v>
      </c>
      <c r="E104" s="0" t="s">
        <v>17</v>
      </c>
      <c r="F104" s="0" t="s">
        <v>35</v>
      </c>
      <c r="G104" s="0" t="n">
        <v>39</v>
      </c>
      <c r="H104" s="0" t="s">
        <v>52</v>
      </c>
      <c r="I104" s="0" t="s">
        <v>20</v>
      </c>
      <c r="J104" s="0" t="n">
        <f aca="false">IF(I104=" ALARM",1,0)</f>
        <v>1</v>
      </c>
      <c r="K104" s="0" t="s">
        <v>20</v>
      </c>
      <c r="L104" s="0" t="n">
        <f aca="false">IF(K104=" ALARM",1,0)</f>
        <v>1</v>
      </c>
      <c r="M104" s="0" t="s">
        <v>20</v>
      </c>
      <c r="N104" s="0" t="n">
        <f aca="false">IF(M104=" ALARM",1,0)</f>
        <v>1</v>
      </c>
      <c r="O104" s="0" t="s">
        <v>329</v>
      </c>
      <c r="P104" s="0" t="s">
        <v>330</v>
      </c>
      <c r="Q104" s="0" t="s">
        <v>331</v>
      </c>
    </row>
    <row r="105" customFormat="false" ht="12.8" hidden="true" customHeight="false" outlineLevel="0" collapsed="false">
      <c r="A105" s="0" t="n">
        <v>36799</v>
      </c>
      <c r="B105" s="0" t="s">
        <v>332</v>
      </c>
      <c r="E105" s="0" t="s">
        <v>17</v>
      </c>
      <c r="F105" s="0" t="s">
        <v>35</v>
      </c>
      <c r="G105" s="0" t="n">
        <v>39</v>
      </c>
      <c r="H105" s="0" t="s">
        <v>52</v>
      </c>
      <c r="I105" s="0" t="s">
        <v>20</v>
      </c>
      <c r="J105" s="0" t="n">
        <f aca="false">IF(I105=" ALARM",1,0)</f>
        <v>1</v>
      </c>
      <c r="K105" s="0" t="s">
        <v>20</v>
      </c>
      <c r="L105" s="0" t="n">
        <f aca="false">IF(K105=" ALARM",1,0)</f>
        <v>1</v>
      </c>
      <c r="M105" s="0" t="s">
        <v>20</v>
      </c>
      <c r="N105" s="0" t="n">
        <f aca="false">IF(M105=" ALARM",1,0)</f>
        <v>1</v>
      </c>
      <c r="O105" s="0" t="s">
        <v>333</v>
      </c>
      <c r="P105" s="0" t="s">
        <v>334</v>
      </c>
      <c r="Q105" s="0" t="s">
        <v>331</v>
      </c>
    </row>
    <row r="106" customFormat="false" ht="12.8" hidden="true" customHeight="false" outlineLevel="0" collapsed="false">
      <c r="A106" s="0" t="n">
        <v>36872</v>
      </c>
      <c r="B106" s="0" t="s">
        <v>335</v>
      </c>
      <c r="E106" s="0" t="s">
        <v>17</v>
      </c>
      <c r="F106" s="0" t="s">
        <v>18</v>
      </c>
      <c r="G106" s="0" t="n">
        <v>39</v>
      </c>
      <c r="H106" s="0" t="s">
        <v>52</v>
      </c>
      <c r="I106" s="0" t="s">
        <v>20</v>
      </c>
      <c r="J106" s="0" t="n">
        <f aca="false">IF(I106=" ALARM",1,0)</f>
        <v>1</v>
      </c>
      <c r="K106" s="0" t="s">
        <v>20</v>
      </c>
      <c r="L106" s="0" t="n">
        <f aca="false">IF(K106=" ALARM",1,0)</f>
        <v>1</v>
      </c>
      <c r="M106" s="0" t="s">
        <v>21</v>
      </c>
      <c r="N106" s="0" t="n">
        <f aca="false">IF(M106=" ALARM",1,0)</f>
        <v>0</v>
      </c>
      <c r="O106" s="0" t="s">
        <v>336</v>
      </c>
      <c r="P106" s="0" t="s">
        <v>337</v>
      </c>
      <c r="Q106" s="0" t="s">
        <v>338</v>
      </c>
    </row>
    <row r="107" customFormat="false" ht="12.8" hidden="true" customHeight="false" outlineLevel="0" collapsed="false">
      <c r="A107" s="0" t="n">
        <v>40784</v>
      </c>
      <c r="B107" s="0" t="s">
        <v>339</v>
      </c>
      <c r="E107" s="0" t="s">
        <v>17</v>
      </c>
      <c r="F107" s="0" t="s">
        <v>18</v>
      </c>
      <c r="G107" s="0" t="n">
        <v>39</v>
      </c>
      <c r="H107" s="0" t="s">
        <v>52</v>
      </c>
      <c r="I107" s="0" t="s">
        <v>20</v>
      </c>
      <c r="J107" s="0" t="n">
        <f aca="false">IF(I107=" ALARM",1,0)</f>
        <v>1</v>
      </c>
      <c r="K107" s="0" t="s">
        <v>20</v>
      </c>
      <c r="L107" s="0" t="n">
        <f aca="false">IF(K107=" ALARM",1,0)</f>
        <v>1</v>
      </c>
      <c r="M107" s="0" t="s">
        <v>20</v>
      </c>
      <c r="N107" s="0" t="n">
        <f aca="false">IF(M107=" ALARM",1,0)</f>
        <v>1</v>
      </c>
      <c r="O107" s="0" t="s">
        <v>340</v>
      </c>
      <c r="P107" s="0" t="s">
        <v>341</v>
      </c>
      <c r="Q107" s="0" t="s">
        <v>342</v>
      </c>
    </row>
    <row r="108" customFormat="false" ht="12.8" hidden="true" customHeight="false" outlineLevel="0" collapsed="false">
      <c r="A108" s="0" t="n">
        <v>40913</v>
      </c>
      <c r="B108" s="0" t="s">
        <v>343</v>
      </c>
      <c r="E108" s="0" t="s">
        <v>17</v>
      </c>
      <c r="F108" s="0" t="s">
        <v>35</v>
      </c>
      <c r="G108" s="0" t="n">
        <v>421</v>
      </c>
      <c r="H108" s="0" t="s">
        <v>52</v>
      </c>
      <c r="I108" s="0" t="s">
        <v>20</v>
      </c>
      <c r="J108" s="0" t="n">
        <f aca="false">IF(I108=" ALARM",1,0)</f>
        <v>1</v>
      </c>
      <c r="K108" s="0" t="s">
        <v>20</v>
      </c>
      <c r="L108" s="0" t="n">
        <f aca="false">IF(K108=" ALARM",1,0)</f>
        <v>1</v>
      </c>
      <c r="M108" s="0" t="s">
        <v>20</v>
      </c>
      <c r="N108" s="0" t="n">
        <f aca="false">IF(M108=" ALARM",1,0)</f>
        <v>1</v>
      </c>
      <c r="O108" s="0" t="s">
        <v>344</v>
      </c>
      <c r="P108" s="0" t="s">
        <v>345</v>
      </c>
    </row>
    <row r="109" customFormat="false" ht="12.8" hidden="true" customHeight="false" outlineLevel="0" collapsed="false">
      <c r="A109" s="0" t="n">
        <v>41062</v>
      </c>
      <c r="B109" s="0" t="s">
        <v>346</v>
      </c>
      <c r="E109" s="0" t="s">
        <v>17</v>
      </c>
      <c r="F109" s="0" t="s">
        <v>35</v>
      </c>
      <c r="G109" s="0" t="n">
        <v>389</v>
      </c>
      <c r="H109" s="0" t="s">
        <v>52</v>
      </c>
      <c r="I109" s="0" t="s">
        <v>20</v>
      </c>
      <c r="J109" s="0" t="n">
        <f aca="false">IF(I109=" ALARM",1,0)</f>
        <v>1</v>
      </c>
      <c r="K109" s="0" t="s">
        <v>20</v>
      </c>
      <c r="L109" s="0" t="n">
        <f aca="false">IF(K109=" ALARM",1,0)</f>
        <v>1</v>
      </c>
      <c r="M109" s="0" t="s">
        <v>20</v>
      </c>
      <c r="N109" s="0" t="n">
        <f aca="false">IF(M109=" ALARM",1,0)</f>
        <v>1</v>
      </c>
      <c r="O109" s="0" t="s">
        <v>347</v>
      </c>
      <c r="P109" s="0" t="s">
        <v>348</v>
      </c>
    </row>
    <row r="110" customFormat="false" ht="12.8" hidden="true" customHeight="false" outlineLevel="0" collapsed="false">
      <c r="A110" s="0" t="n">
        <v>42147</v>
      </c>
      <c r="B110" s="0" t="s">
        <v>349</v>
      </c>
      <c r="E110" s="0" t="s">
        <v>17</v>
      </c>
      <c r="F110" s="0" t="s">
        <v>18</v>
      </c>
      <c r="G110" s="0" t="n">
        <v>39</v>
      </c>
      <c r="H110" s="0" t="s">
        <v>52</v>
      </c>
      <c r="I110" s="0" t="s">
        <v>20</v>
      </c>
      <c r="J110" s="0" t="n">
        <f aca="false">IF(I110=" ALARM",1,0)</f>
        <v>1</v>
      </c>
      <c r="K110" s="0" t="s">
        <v>20</v>
      </c>
      <c r="L110" s="0" t="n">
        <f aca="false">IF(K110=" ALARM",1,0)</f>
        <v>1</v>
      </c>
      <c r="M110" s="0" t="s">
        <v>20</v>
      </c>
      <c r="N110" s="0" t="n">
        <f aca="false">IF(M110=" ALARM",1,0)</f>
        <v>1</v>
      </c>
      <c r="O110" s="0" t="s">
        <v>350</v>
      </c>
      <c r="P110" s="0" t="s">
        <v>351</v>
      </c>
      <c r="Q110" s="0" t="s">
        <v>352</v>
      </c>
    </row>
    <row r="111" customFormat="false" ht="12.8" hidden="true" customHeight="false" outlineLevel="0" collapsed="false">
      <c r="A111" s="0" t="n">
        <v>44115</v>
      </c>
      <c r="B111" s="0" t="s">
        <v>353</v>
      </c>
      <c r="E111" s="0" t="s">
        <v>17</v>
      </c>
      <c r="F111" s="0" t="s">
        <v>18</v>
      </c>
      <c r="G111" s="0" t="n">
        <v>39</v>
      </c>
      <c r="H111" s="0" t="s">
        <v>52</v>
      </c>
      <c r="I111" s="0" t="s">
        <v>21</v>
      </c>
      <c r="J111" s="0" t="n">
        <f aca="false">IF(I111=" ALARM",1,0)</f>
        <v>0</v>
      </c>
      <c r="K111" s="0" t="s">
        <v>21</v>
      </c>
      <c r="L111" s="0" t="n">
        <f aca="false">IF(K111=" ALARM",1,0)</f>
        <v>0</v>
      </c>
      <c r="M111" s="0" t="s">
        <v>20</v>
      </c>
      <c r="N111" s="0" t="n">
        <f aca="false">IF(M111=" ALARM",1,0)</f>
        <v>1</v>
      </c>
      <c r="O111" s="0" t="s">
        <v>119</v>
      </c>
      <c r="P111" s="0" t="s">
        <v>119</v>
      </c>
      <c r="Q111" s="0" t="s">
        <v>354</v>
      </c>
    </row>
    <row r="112" customFormat="false" ht="12.8" hidden="true" customHeight="false" outlineLevel="0" collapsed="false">
      <c r="A112" s="0" t="n">
        <v>44137</v>
      </c>
      <c r="B112" s="0" t="s">
        <v>355</v>
      </c>
      <c r="E112" s="0" t="s">
        <v>17</v>
      </c>
      <c r="F112" s="0" t="s">
        <v>18</v>
      </c>
      <c r="G112" s="0" t="n">
        <v>39</v>
      </c>
      <c r="H112" s="0" t="s">
        <v>52</v>
      </c>
      <c r="I112" s="0" t="s">
        <v>20</v>
      </c>
      <c r="J112" s="0" t="n">
        <f aca="false">IF(I112=" ALARM",1,0)</f>
        <v>1</v>
      </c>
      <c r="K112" s="0" t="s">
        <v>20</v>
      </c>
      <c r="L112" s="0" t="n">
        <f aca="false">IF(K112=" ALARM",1,0)</f>
        <v>1</v>
      </c>
      <c r="M112" s="0" t="s">
        <v>30</v>
      </c>
      <c r="N112" s="0" t="n">
        <f aca="false">IF(M112=" ALARM",1,0)</f>
        <v>0</v>
      </c>
      <c r="O112" s="0" t="s">
        <v>356</v>
      </c>
      <c r="P112" s="0" t="s">
        <v>357</v>
      </c>
      <c r="Q112" s="0" t="s">
        <v>358</v>
      </c>
    </row>
    <row r="113" customFormat="false" ht="12.8" hidden="true" customHeight="false" outlineLevel="0" collapsed="false">
      <c r="A113" s="0" t="n">
        <v>42626</v>
      </c>
      <c r="B113" s="0" t="s">
        <v>359</v>
      </c>
      <c r="E113" s="0" t="s">
        <v>17</v>
      </c>
      <c r="F113" s="0" t="s">
        <v>35</v>
      </c>
      <c r="G113" s="0" t="n">
        <v>421</v>
      </c>
      <c r="H113" s="0" t="s">
        <v>52</v>
      </c>
      <c r="I113" s="0" t="s">
        <v>20</v>
      </c>
      <c r="J113" s="0" t="n">
        <f aca="false">IF(I113=" ALARM",1,0)</f>
        <v>1</v>
      </c>
      <c r="K113" s="0" t="s">
        <v>20</v>
      </c>
      <c r="L113" s="0" t="n">
        <f aca="false">IF(K113=" ALARM",1,0)</f>
        <v>1</v>
      </c>
      <c r="M113" s="0" t="s">
        <v>20</v>
      </c>
      <c r="N113" s="0" t="n">
        <f aca="false">IF(M113=" ALARM",1,0)</f>
        <v>1</v>
      </c>
      <c r="O113" s="0" t="s">
        <v>360</v>
      </c>
      <c r="P113" s="0" t="s">
        <v>361</v>
      </c>
    </row>
    <row r="114" customFormat="false" ht="12.8" hidden="true" customHeight="false" outlineLevel="0" collapsed="false">
      <c r="A114" s="0" t="n">
        <v>45209</v>
      </c>
      <c r="B114" s="0" t="s">
        <v>362</v>
      </c>
      <c r="E114" s="0" t="s">
        <v>17</v>
      </c>
      <c r="F114" s="0" t="s">
        <v>18</v>
      </c>
      <c r="G114" s="0" t="n">
        <v>39</v>
      </c>
      <c r="H114" s="0" t="s">
        <v>52</v>
      </c>
      <c r="I114" s="0" t="s">
        <v>20</v>
      </c>
      <c r="J114" s="0" t="n">
        <f aca="false">IF(I114=" ALARM",1,0)</f>
        <v>1</v>
      </c>
      <c r="K114" s="0" t="s">
        <v>20</v>
      </c>
      <c r="L114" s="0" t="n">
        <f aca="false">IF(K114=" ALARM",1,0)</f>
        <v>1</v>
      </c>
      <c r="M114" s="0" t="s">
        <v>21</v>
      </c>
      <c r="N114" s="0" t="n">
        <f aca="false">IF(M114=" ALARM",1,0)</f>
        <v>0</v>
      </c>
      <c r="O114" s="0" t="s">
        <v>363</v>
      </c>
      <c r="P114" s="0" t="s">
        <v>364</v>
      </c>
      <c r="Q114" s="0" t="s">
        <v>365</v>
      </c>
    </row>
    <row r="115" customFormat="false" ht="12.8" hidden="true" customHeight="false" outlineLevel="0" collapsed="false">
      <c r="A115" s="0" t="n">
        <v>45208</v>
      </c>
      <c r="B115" s="0" t="s">
        <v>366</v>
      </c>
      <c r="E115" s="0" t="s">
        <v>17</v>
      </c>
      <c r="F115" s="0" t="s">
        <v>18</v>
      </c>
      <c r="G115" s="0" t="n">
        <v>39</v>
      </c>
      <c r="H115" s="0" t="s">
        <v>52</v>
      </c>
      <c r="I115" s="0" t="s">
        <v>21</v>
      </c>
      <c r="J115" s="0" t="n">
        <f aca="false">IF(I115=" ALARM",1,0)</f>
        <v>0</v>
      </c>
      <c r="K115" s="0" t="s">
        <v>20</v>
      </c>
      <c r="L115" s="0" t="n">
        <f aca="false">IF(K115=" ALARM",1,0)</f>
        <v>1</v>
      </c>
      <c r="M115" s="0" t="s">
        <v>21</v>
      </c>
      <c r="N115" s="0" t="n">
        <f aca="false">IF(M115=" ALARM",1,0)</f>
        <v>0</v>
      </c>
      <c r="O115" s="0" t="s">
        <v>86</v>
      </c>
      <c r="P115" s="0" t="s">
        <v>367</v>
      </c>
      <c r="Q115" s="0" t="s">
        <v>365</v>
      </c>
    </row>
    <row r="116" customFormat="false" ht="12.8" hidden="true" customHeight="false" outlineLevel="0" collapsed="false">
      <c r="A116" s="0" t="n">
        <v>45781</v>
      </c>
      <c r="B116" s="0" t="s">
        <v>368</v>
      </c>
      <c r="E116" s="0" t="s">
        <v>17</v>
      </c>
      <c r="F116" s="0" t="s">
        <v>35</v>
      </c>
      <c r="G116" s="0" t="n">
        <v>39</v>
      </c>
      <c r="H116" s="0" t="s">
        <v>52</v>
      </c>
      <c r="I116" s="0" t="s">
        <v>20</v>
      </c>
      <c r="J116" s="0" t="n">
        <f aca="false">IF(I116=" ALARM",1,0)</f>
        <v>1</v>
      </c>
      <c r="K116" s="0" t="s">
        <v>20</v>
      </c>
      <c r="L116" s="0" t="n">
        <f aca="false">IF(K116=" ALARM",1,0)</f>
        <v>1</v>
      </c>
      <c r="M116" s="0" t="s">
        <v>20</v>
      </c>
      <c r="N116" s="0" t="n">
        <f aca="false">IF(M116=" ALARM",1,0)</f>
        <v>1</v>
      </c>
      <c r="O116" s="0" t="s">
        <v>369</v>
      </c>
      <c r="P116" s="0" t="s">
        <v>370</v>
      </c>
      <c r="Q116" s="0" t="s">
        <v>371</v>
      </c>
    </row>
    <row r="117" customFormat="false" ht="12.8" hidden="true" customHeight="false" outlineLevel="0" collapsed="false">
      <c r="A117" s="0" t="n">
        <v>45795</v>
      </c>
      <c r="B117" s="0" t="s">
        <v>372</v>
      </c>
      <c r="E117" s="0" t="s">
        <v>17</v>
      </c>
      <c r="F117" s="0" t="s">
        <v>35</v>
      </c>
      <c r="G117" s="0" t="n">
        <v>39</v>
      </c>
      <c r="H117" s="0" t="s">
        <v>52</v>
      </c>
      <c r="I117" s="0" t="s">
        <v>20</v>
      </c>
      <c r="J117" s="0" t="n">
        <f aca="false">IF(I117=" ALARM",1,0)</f>
        <v>1</v>
      </c>
      <c r="K117" s="0" t="s">
        <v>20</v>
      </c>
      <c r="L117" s="0" t="n">
        <f aca="false">IF(K117=" ALARM",1,0)</f>
        <v>1</v>
      </c>
      <c r="M117" s="0" t="s">
        <v>20</v>
      </c>
      <c r="N117" s="0" t="n">
        <f aca="false">IF(M117=" ALARM",1,0)</f>
        <v>1</v>
      </c>
      <c r="O117" s="0" t="s">
        <v>373</v>
      </c>
      <c r="P117" s="0" t="s">
        <v>374</v>
      </c>
      <c r="Q117" s="0" t="s">
        <v>375</v>
      </c>
    </row>
    <row r="118" customFormat="false" ht="12.8" hidden="true" customHeight="false" outlineLevel="0" collapsed="false">
      <c r="A118" s="0" t="n">
        <v>45800</v>
      </c>
      <c r="B118" s="0" t="s">
        <v>376</v>
      </c>
      <c r="E118" s="0" t="s">
        <v>17</v>
      </c>
      <c r="F118" s="0" t="s">
        <v>35</v>
      </c>
      <c r="G118" s="0" t="n">
        <v>39</v>
      </c>
      <c r="H118" s="0" t="s">
        <v>52</v>
      </c>
      <c r="I118" s="0" t="s">
        <v>20</v>
      </c>
      <c r="J118" s="0" t="n">
        <f aca="false">IF(I118=" ALARM",1,0)</f>
        <v>1</v>
      </c>
      <c r="K118" s="0" t="s">
        <v>20</v>
      </c>
      <c r="L118" s="0" t="n">
        <f aca="false">IF(K118=" ALARM",1,0)</f>
        <v>1</v>
      </c>
      <c r="M118" s="0" t="s">
        <v>20</v>
      </c>
      <c r="N118" s="0" t="n">
        <f aca="false">IF(M118=" ALARM",1,0)</f>
        <v>1</v>
      </c>
      <c r="O118" s="0" t="s">
        <v>377</v>
      </c>
      <c r="P118" s="0" t="s">
        <v>378</v>
      </c>
      <c r="Q118" s="0" t="s">
        <v>375</v>
      </c>
    </row>
    <row r="119" customFormat="false" ht="12.8" hidden="true" customHeight="false" outlineLevel="0" collapsed="false">
      <c r="A119" s="0" t="n">
        <v>45393</v>
      </c>
      <c r="B119" s="0" t="s">
        <v>379</v>
      </c>
      <c r="E119" s="0" t="s">
        <v>17</v>
      </c>
      <c r="F119" s="0" t="s">
        <v>35</v>
      </c>
      <c r="G119" s="0" t="n">
        <v>465</v>
      </c>
      <c r="H119" s="0" t="s">
        <v>52</v>
      </c>
      <c r="I119" s="0" t="s">
        <v>21</v>
      </c>
      <c r="J119" s="0" t="n">
        <f aca="false">IF(I119=" ALARM",1,0)</f>
        <v>0</v>
      </c>
      <c r="K119" s="0" t="s">
        <v>21</v>
      </c>
      <c r="L119" s="0" t="n">
        <f aca="false">IF(K119=" ALARM",1,0)</f>
        <v>0</v>
      </c>
      <c r="M119" s="0" t="s">
        <v>20</v>
      </c>
      <c r="N119" s="0" t="n">
        <f aca="false">IF(M119=" ALARM",1,0)</f>
        <v>1</v>
      </c>
      <c r="O119" s="0" t="s">
        <v>119</v>
      </c>
      <c r="P119" s="0" t="s">
        <v>119</v>
      </c>
    </row>
    <row r="120" customFormat="false" ht="12.8" hidden="true" customHeight="false" outlineLevel="0" collapsed="false">
      <c r="A120" s="0" t="n">
        <v>47000</v>
      </c>
      <c r="B120" s="0" t="s">
        <v>380</v>
      </c>
      <c r="E120" s="0" t="s">
        <v>17</v>
      </c>
      <c r="F120" s="0" t="s">
        <v>18</v>
      </c>
      <c r="G120" s="0" t="n">
        <v>39</v>
      </c>
      <c r="H120" s="0" t="s">
        <v>52</v>
      </c>
      <c r="I120" s="0" t="s">
        <v>20</v>
      </c>
      <c r="J120" s="0" t="n">
        <f aca="false">IF(I120=" ALARM",1,0)</f>
        <v>1</v>
      </c>
      <c r="K120" s="0" t="s">
        <v>20</v>
      </c>
      <c r="L120" s="0" t="n">
        <f aca="false">IF(K120=" ALARM",1,0)</f>
        <v>1</v>
      </c>
      <c r="M120" s="0" t="s">
        <v>30</v>
      </c>
      <c r="N120" s="0" t="n">
        <f aca="false">IF(M120=" ALARM",1,0)</f>
        <v>0</v>
      </c>
      <c r="O120" s="0" t="s">
        <v>381</v>
      </c>
      <c r="P120" s="0" t="s">
        <v>382</v>
      </c>
      <c r="Q120" s="0" t="s">
        <v>383</v>
      </c>
    </row>
    <row r="121" customFormat="false" ht="12.8" hidden="true" customHeight="false" outlineLevel="0" collapsed="false">
      <c r="A121" s="0" t="n">
        <v>47002</v>
      </c>
      <c r="B121" s="0" t="s">
        <v>384</v>
      </c>
      <c r="E121" s="0" t="s">
        <v>17</v>
      </c>
      <c r="F121" s="0" t="s">
        <v>18</v>
      </c>
      <c r="G121" s="0" t="n">
        <v>39</v>
      </c>
      <c r="H121" s="0" t="s">
        <v>52</v>
      </c>
      <c r="I121" s="0" t="s">
        <v>20</v>
      </c>
      <c r="J121" s="0" t="n">
        <f aca="false">IF(I121=" ALARM",1,0)</f>
        <v>1</v>
      </c>
      <c r="K121" s="0" t="s">
        <v>20</v>
      </c>
      <c r="L121" s="0" t="n">
        <f aca="false">IF(K121=" ALARM",1,0)</f>
        <v>1</v>
      </c>
      <c r="M121" s="0" t="s">
        <v>30</v>
      </c>
      <c r="N121" s="0" t="n">
        <f aca="false">IF(M121=" ALARM",1,0)</f>
        <v>0</v>
      </c>
      <c r="O121" s="0" t="s">
        <v>385</v>
      </c>
      <c r="P121" s="0" t="s">
        <v>386</v>
      </c>
      <c r="Q121" s="0" t="s">
        <v>383</v>
      </c>
    </row>
    <row r="122" customFormat="false" ht="12.8" hidden="true" customHeight="false" outlineLevel="0" collapsed="false">
      <c r="A122" s="0" t="n">
        <v>47173</v>
      </c>
      <c r="B122" s="0" t="s">
        <v>387</v>
      </c>
      <c r="E122" s="0" t="s">
        <v>17</v>
      </c>
      <c r="F122" s="0" t="s">
        <v>35</v>
      </c>
      <c r="G122" s="0" t="n">
        <v>483</v>
      </c>
      <c r="H122" s="0" t="s">
        <v>52</v>
      </c>
      <c r="I122" s="0" t="s">
        <v>21</v>
      </c>
      <c r="J122" s="0" t="n">
        <f aca="false">IF(I122=" ALARM",1,0)</f>
        <v>0</v>
      </c>
      <c r="K122" s="0" t="s">
        <v>21</v>
      </c>
      <c r="L122" s="0" t="n">
        <f aca="false">IF(K122=" ALARM",1,0)</f>
        <v>0</v>
      </c>
      <c r="M122" s="0" t="s">
        <v>30</v>
      </c>
      <c r="N122" s="0" t="n">
        <f aca="false">IF(M122=" ALARM",1,0)</f>
        <v>0</v>
      </c>
      <c r="O122" s="0" t="s">
        <v>119</v>
      </c>
      <c r="P122" s="0" t="s">
        <v>119</v>
      </c>
    </row>
    <row r="123" customFormat="false" ht="12.8" hidden="true" customHeight="false" outlineLevel="0" collapsed="false">
      <c r="A123" s="0" t="n">
        <v>53665</v>
      </c>
      <c r="B123" s="0" t="s">
        <v>388</v>
      </c>
      <c r="E123" s="0" t="s">
        <v>17</v>
      </c>
      <c r="F123" s="0" t="s">
        <v>18</v>
      </c>
      <c r="G123" s="0" t="n">
        <v>39</v>
      </c>
      <c r="H123" s="0" t="s">
        <v>52</v>
      </c>
      <c r="I123" s="0" t="s">
        <v>20</v>
      </c>
      <c r="J123" s="0" t="n">
        <f aca="false">IF(I123=" ALARM",1,0)</f>
        <v>1</v>
      </c>
      <c r="K123" s="0" t="s">
        <v>20</v>
      </c>
      <c r="L123" s="0" t="n">
        <f aca="false">IF(K123=" ALARM",1,0)</f>
        <v>1</v>
      </c>
      <c r="M123" s="0" t="s">
        <v>20</v>
      </c>
      <c r="N123" s="0" t="n">
        <f aca="false">IF(M123=" ALARM",1,0)</f>
        <v>1</v>
      </c>
      <c r="O123" s="0" t="s">
        <v>389</v>
      </c>
      <c r="P123" s="0" t="s">
        <v>390</v>
      </c>
      <c r="Q123" s="0" t="s">
        <v>391</v>
      </c>
    </row>
    <row r="124" customFormat="false" ht="12.8" hidden="true" customHeight="false" outlineLevel="0" collapsed="false">
      <c r="A124" s="0" t="n">
        <v>53666</v>
      </c>
      <c r="B124" s="0" t="s">
        <v>392</v>
      </c>
      <c r="E124" s="0" t="s">
        <v>17</v>
      </c>
      <c r="F124" s="0" t="s">
        <v>18</v>
      </c>
      <c r="G124" s="0" t="n">
        <v>39</v>
      </c>
      <c r="H124" s="0" t="s">
        <v>52</v>
      </c>
      <c r="I124" s="0" t="s">
        <v>20</v>
      </c>
      <c r="J124" s="0" t="n">
        <f aca="false">IF(I124=" ALARM",1,0)</f>
        <v>1</v>
      </c>
      <c r="K124" s="0" t="s">
        <v>20</v>
      </c>
      <c r="L124" s="0" t="n">
        <f aca="false">IF(K124=" ALARM",1,0)</f>
        <v>1</v>
      </c>
      <c r="M124" s="0" t="s">
        <v>20</v>
      </c>
      <c r="N124" s="0" t="n">
        <f aca="false">IF(M124=" ALARM",1,0)</f>
        <v>1</v>
      </c>
      <c r="O124" s="0" t="s">
        <v>393</v>
      </c>
      <c r="P124" s="0" t="s">
        <v>394</v>
      </c>
      <c r="Q124" s="0" t="s">
        <v>391</v>
      </c>
    </row>
    <row r="125" customFormat="false" ht="12.8" hidden="true" customHeight="false" outlineLevel="0" collapsed="false">
      <c r="A125" s="0" t="n">
        <v>56779</v>
      </c>
      <c r="B125" s="0" t="s">
        <v>395</v>
      </c>
      <c r="E125" s="0" t="s">
        <v>17</v>
      </c>
      <c r="F125" s="0" t="s">
        <v>35</v>
      </c>
      <c r="G125" s="0" t="n">
        <v>481</v>
      </c>
      <c r="H125" s="0" t="s">
        <v>52</v>
      </c>
      <c r="I125" s="0" t="s">
        <v>20</v>
      </c>
      <c r="J125" s="0" t="n">
        <f aca="false">IF(I125=" ALARM",1,0)</f>
        <v>1</v>
      </c>
      <c r="K125" s="0" t="s">
        <v>20</v>
      </c>
      <c r="L125" s="0" t="n">
        <f aca="false">IF(K125=" ALARM",1,0)</f>
        <v>1</v>
      </c>
      <c r="M125" s="0" t="s">
        <v>30</v>
      </c>
      <c r="N125" s="0" t="n">
        <f aca="false">IF(M125=" ALARM",1,0)</f>
        <v>0</v>
      </c>
      <c r="O125" s="0" t="s">
        <v>396</v>
      </c>
      <c r="P125" s="0" t="s">
        <v>397</v>
      </c>
    </row>
    <row r="126" customFormat="false" ht="12.8" hidden="true" customHeight="false" outlineLevel="0" collapsed="false">
      <c r="A126" s="0" t="n">
        <v>60724</v>
      </c>
      <c r="B126" s="0" t="s">
        <v>398</v>
      </c>
      <c r="E126" s="0" t="s">
        <v>17</v>
      </c>
      <c r="F126" s="0" t="s">
        <v>35</v>
      </c>
      <c r="G126" s="0" t="n">
        <v>481</v>
      </c>
      <c r="H126" s="0" t="s">
        <v>52</v>
      </c>
      <c r="I126" s="0" t="s">
        <v>21</v>
      </c>
      <c r="J126" s="0" t="n">
        <f aca="false">IF(I126=" ALARM",1,0)</f>
        <v>0</v>
      </c>
      <c r="K126" s="0" t="s">
        <v>21</v>
      </c>
      <c r="L126" s="0" t="n">
        <f aca="false">IF(K126=" ALARM",1,0)</f>
        <v>0</v>
      </c>
      <c r="M126" s="0" t="s">
        <v>30</v>
      </c>
      <c r="N126" s="0" t="n">
        <f aca="false">IF(M126=" ALARM",1,0)</f>
        <v>0</v>
      </c>
      <c r="O126" s="0" t="s">
        <v>399</v>
      </c>
      <c r="P126" s="0" t="s">
        <v>399</v>
      </c>
    </row>
    <row r="127" customFormat="false" ht="12.8" hidden="true" customHeight="false" outlineLevel="0" collapsed="false">
      <c r="A127" s="0" t="n">
        <v>77999</v>
      </c>
      <c r="B127" s="0" t="s">
        <v>400</v>
      </c>
      <c r="E127" s="0" t="s">
        <v>17</v>
      </c>
      <c r="F127" s="0" t="s">
        <v>35</v>
      </c>
      <c r="G127" s="0" t="n">
        <v>39</v>
      </c>
      <c r="H127" s="0" t="s">
        <v>52</v>
      </c>
      <c r="I127" s="0" t="s">
        <v>20</v>
      </c>
      <c r="J127" s="0" t="n">
        <f aca="false">IF(I127=" ALARM",1,0)</f>
        <v>1</v>
      </c>
      <c r="K127" s="0" t="s">
        <v>20</v>
      </c>
      <c r="L127" s="0" t="n">
        <f aca="false">IF(K127=" ALARM",1,0)</f>
        <v>1</v>
      </c>
      <c r="M127" s="0" t="s">
        <v>20</v>
      </c>
      <c r="N127" s="0" t="n">
        <f aca="false">IF(M127=" ALARM",1,0)</f>
        <v>1</v>
      </c>
      <c r="O127" s="0" t="s">
        <v>401</v>
      </c>
      <c r="P127" s="0" t="s">
        <v>402</v>
      </c>
    </row>
    <row r="128" customFormat="false" ht="12.8" hidden="true" customHeight="false" outlineLevel="0" collapsed="false">
      <c r="A128" s="0" t="n">
        <v>78001</v>
      </c>
      <c r="B128" s="0" t="s">
        <v>403</v>
      </c>
      <c r="E128" s="0" t="s">
        <v>17</v>
      </c>
      <c r="F128" s="0" t="s">
        <v>35</v>
      </c>
      <c r="G128" s="0" t="n">
        <v>39</v>
      </c>
      <c r="H128" s="0" t="s">
        <v>52</v>
      </c>
      <c r="I128" s="0" t="s">
        <v>30</v>
      </c>
      <c r="J128" s="0" t="n">
        <f aca="false">IF(I128=" ALARM",1,0)</f>
        <v>0</v>
      </c>
      <c r="K128" s="0" t="s">
        <v>20</v>
      </c>
      <c r="L128" s="0" t="n">
        <f aca="false">IF(K128=" ALARM",1,0)</f>
        <v>1</v>
      </c>
      <c r="M128" s="0" t="s">
        <v>20</v>
      </c>
      <c r="N128" s="0" t="n">
        <f aca="false">IF(M128=" ALARM",1,0)</f>
        <v>1</v>
      </c>
      <c r="O128" s="0" t="s">
        <v>404</v>
      </c>
      <c r="P128" s="0" t="s">
        <v>405</v>
      </c>
    </row>
    <row r="129" customFormat="false" ht="12.8" hidden="true" customHeight="false" outlineLevel="0" collapsed="false">
      <c r="A129" s="0" t="n">
        <v>82313</v>
      </c>
      <c r="B129" s="0" t="s">
        <v>406</v>
      </c>
      <c r="E129" s="0" t="s">
        <v>17</v>
      </c>
      <c r="F129" s="0" t="s">
        <v>18</v>
      </c>
      <c r="G129" s="0" t="n">
        <v>39</v>
      </c>
      <c r="H129" s="0" t="s">
        <v>52</v>
      </c>
      <c r="I129" s="0" t="s">
        <v>20</v>
      </c>
      <c r="J129" s="0" t="n">
        <f aca="false">IF(I129=" ALARM",1,0)</f>
        <v>1</v>
      </c>
      <c r="K129" s="0" t="s">
        <v>20</v>
      </c>
      <c r="L129" s="0" t="n">
        <f aca="false">IF(K129=" ALARM",1,0)</f>
        <v>1</v>
      </c>
      <c r="M129" s="0" t="s">
        <v>30</v>
      </c>
      <c r="N129" s="0" t="n">
        <f aca="false">IF(M129=" ALARM",1,0)</f>
        <v>0</v>
      </c>
      <c r="O129" s="0" t="s">
        <v>407</v>
      </c>
      <c r="P129" s="0" t="s">
        <v>408</v>
      </c>
      <c r="Q129" s="0" t="s">
        <v>409</v>
      </c>
    </row>
    <row r="130" customFormat="false" ht="12.8" hidden="true" customHeight="false" outlineLevel="0" collapsed="false">
      <c r="A130" s="0" t="n">
        <v>86357</v>
      </c>
      <c r="B130" s="0" t="s">
        <v>410</v>
      </c>
      <c r="E130" s="0" t="s">
        <v>17</v>
      </c>
      <c r="F130" s="0" t="s">
        <v>18</v>
      </c>
      <c r="G130" s="0" t="n">
        <v>39</v>
      </c>
      <c r="H130" s="0" t="s">
        <v>52</v>
      </c>
      <c r="I130" s="0" t="s">
        <v>20</v>
      </c>
      <c r="J130" s="0" t="n">
        <f aca="false">IF(I130=" ALARM",1,0)</f>
        <v>1</v>
      </c>
      <c r="K130" s="0" t="s">
        <v>20</v>
      </c>
      <c r="L130" s="0" t="n">
        <f aca="false">IF(K130=" ALARM",1,0)</f>
        <v>1</v>
      </c>
      <c r="M130" s="0" t="s">
        <v>20</v>
      </c>
      <c r="N130" s="0" t="n">
        <f aca="false">IF(M130=" ALARM",1,0)</f>
        <v>1</v>
      </c>
      <c r="O130" s="0" t="s">
        <v>411</v>
      </c>
      <c r="P130" s="0" t="s">
        <v>412</v>
      </c>
      <c r="Q130" s="0" t="s">
        <v>413</v>
      </c>
    </row>
    <row r="131" customFormat="false" ht="12.8" hidden="true" customHeight="false" outlineLevel="0" collapsed="false">
      <c r="A131" s="0" t="n">
        <v>86656</v>
      </c>
      <c r="B131" s="0" t="s">
        <v>414</v>
      </c>
      <c r="E131" s="0" t="s">
        <v>17</v>
      </c>
      <c r="F131" s="0" t="s">
        <v>18</v>
      </c>
      <c r="G131" s="0" t="n">
        <v>39</v>
      </c>
      <c r="H131" s="0" t="s">
        <v>52</v>
      </c>
      <c r="I131" s="0" t="s">
        <v>20</v>
      </c>
      <c r="J131" s="0" t="n">
        <f aca="false">IF(I131=" ALARM",1,0)</f>
        <v>1</v>
      </c>
      <c r="K131" s="0" t="s">
        <v>20</v>
      </c>
      <c r="L131" s="0" t="n">
        <f aca="false">IF(K131=" ALARM",1,0)</f>
        <v>1</v>
      </c>
      <c r="M131" s="0" t="s">
        <v>30</v>
      </c>
      <c r="N131" s="0" t="n">
        <f aca="false">IF(M131=" ALARM",1,0)</f>
        <v>0</v>
      </c>
      <c r="O131" s="0" t="s">
        <v>415</v>
      </c>
      <c r="P131" s="0" t="s">
        <v>416</v>
      </c>
      <c r="Q131" s="0" t="s">
        <v>417</v>
      </c>
    </row>
    <row r="132" customFormat="false" ht="12.8" hidden="true" customHeight="false" outlineLevel="0" collapsed="false">
      <c r="A132" s="0" t="n">
        <v>86657</v>
      </c>
      <c r="B132" s="0" t="s">
        <v>418</v>
      </c>
      <c r="E132" s="0" t="s">
        <v>17</v>
      </c>
      <c r="F132" s="0" t="s">
        <v>18</v>
      </c>
      <c r="G132" s="0" t="n">
        <v>39</v>
      </c>
      <c r="H132" s="0" t="s">
        <v>52</v>
      </c>
      <c r="I132" s="0" t="s">
        <v>20</v>
      </c>
      <c r="J132" s="0" t="n">
        <f aca="false">IF(I132=" ALARM",1,0)</f>
        <v>1</v>
      </c>
      <c r="K132" s="0" t="s">
        <v>20</v>
      </c>
      <c r="L132" s="0" t="n">
        <f aca="false">IF(K132=" ALARM",1,0)</f>
        <v>1</v>
      </c>
      <c r="M132" s="0" t="s">
        <v>20</v>
      </c>
      <c r="N132" s="0" t="n">
        <f aca="false">IF(M132=" ALARM",1,0)</f>
        <v>1</v>
      </c>
      <c r="O132" s="0" t="s">
        <v>419</v>
      </c>
      <c r="P132" s="0" t="s">
        <v>420</v>
      </c>
      <c r="Q132" s="0" t="s">
        <v>417</v>
      </c>
    </row>
    <row r="133" customFormat="false" ht="12.8" hidden="true" customHeight="false" outlineLevel="0" collapsed="false">
      <c r="A133" s="0" t="n">
        <v>87000</v>
      </c>
      <c r="B133" s="0" t="s">
        <v>421</v>
      </c>
      <c r="E133" s="0" t="s">
        <v>17</v>
      </c>
      <c r="F133" s="0" t="s">
        <v>35</v>
      </c>
      <c r="G133" s="0" t="n">
        <v>693</v>
      </c>
      <c r="H133" s="0" t="s">
        <v>52</v>
      </c>
      <c r="I133" s="0" t="s">
        <v>20</v>
      </c>
      <c r="J133" s="0" t="n">
        <f aca="false">IF(I133=" ALARM",1,0)</f>
        <v>1</v>
      </c>
      <c r="K133" s="0" t="s">
        <v>20</v>
      </c>
      <c r="L133" s="0" t="n">
        <f aca="false">IF(K133=" ALARM",1,0)</f>
        <v>1</v>
      </c>
      <c r="M133" s="0" t="s">
        <v>20</v>
      </c>
      <c r="N133" s="0" t="n">
        <f aca="false">IF(M133=" ALARM",1,0)</f>
        <v>1</v>
      </c>
      <c r="O133" s="0" t="s">
        <v>422</v>
      </c>
      <c r="P133" s="0" t="s">
        <v>423</v>
      </c>
    </row>
    <row r="134" customFormat="false" ht="12.8" hidden="true" customHeight="false" outlineLevel="0" collapsed="false">
      <c r="A134" s="0" t="n">
        <v>87342</v>
      </c>
      <c r="B134" s="0" t="s">
        <v>424</v>
      </c>
      <c r="E134" s="0" t="s">
        <v>17</v>
      </c>
      <c r="F134" s="0" t="s">
        <v>18</v>
      </c>
      <c r="G134" s="0" t="n">
        <v>39</v>
      </c>
      <c r="H134" s="0" t="s">
        <v>52</v>
      </c>
      <c r="I134" s="0" t="s">
        <v>20</v>
      </c>
      <c r="J134" s="0" t="n">
        <f aca="false">IF(I134=" ALARM",1,0)</f>
        <v>1</v>
      </c>
      <c r="K134" s="0" t="s">
        <v>20</v>
      </c>
      <c r="L134" s="0" t="n">
        <f aca="false">IF(K134=" ALARM",1,0)</f>
        <v>1</v>
      </c>
      <c r="M134" s="0" t="s">
        <v>21</v>
      </c>
      <c r="N134" s="0" t="n">
        <f aca="false">IF(M134=" ALARM",1,0)</f>
        <v>0</v>
      </c>
      <c r="O134" s="0" t="s">
        <v>425</v>
      </c>
      <c r="P134" s="0" t="s">
        <v>426</v>
      </c>
      <c r="Q134" s="0" t="s">
        <v>427</v>
      </c>
    </row>
    <row r="135" customFormat="false" ht="12.8" hidden="true" customHeight="false" outlineLevel="0" collapsed="false">
      <c r="A135" s="0" t="n">
        <v>89428</v>
      </c>
      <c r="B135" s="0" t="s">
        <v>428</v>
      </c>
      <c r="E135" s="0" t="s">
        <v>17</v>
      </c>
      <c r="F135" s="0" t="s">
        <v>18</v>
      </c>
      <c r="G135" s="0" t="n">
        <v>39</v>
      </c>
      <c r="H135" s="0" t="s">
        <v>52</v>
      </c>
      <c r="I135" s="0" t="s">
        <v>21</v>
      </c>
      <c r="J135" s="0" t="n">
        <f aca="false">IF(I135=" ALARM",1,0)</f>
        <v>0</v>
      </c>
      <c r="K135" s="0" t="s">
        <v>20</v>
      </c>
      <c r="L135" s="0" t="n">
        <f aca="false">IF(K135=" ALARM",1,0)</f>
        <v>1</v>
      </c>
      <c r="M135" s="0" t="s">
        <v>30</v>
      </c>
      <c r="N135" s="0" t="n">
        <f aca="false">IF(M135=" ALARM",1,0)</f>
        <v>0</v>
      </c>
      <c r="O135" s="0" t="s">
        <v>119</v>
      </c>
      <c r="P135" s="0" t="s">
        <v>429</v>
      </c>
      <c r="Q135" s="0" t="s">
        <v>430</v>
      </c>
    </row>
    <row r="136" customFormat="false" ht="12.8" hidden="true" customHeight="false" outlineLevel="0" collapsed="false">
      <c r="A136" s="0" t="n">
        <v>89902</v>
      </c>
      <c r="B136" s="0" t="s">
        <v>431</v>
      </c>
      <c r="E136" s="0" t="s">
        <v>17</v>
      </c>
      <c r="F136" s="0" t="s">
        <v>18</v>
      </c>
      <c r="G136" s="0" t="n">
        <v>39</v>
      </c>
      <c r="H136" s="0" t="s">
        <v>52</v>
      </c>
      <c r="I136" s="0" t="s">
        <v>20</v>
      </c>
      <c r="J136" s="0" t="n">
        <f aca="false">IF(I136=" ALARM",1,0)</f>
        <v>1</v>
      </c>
      <c r="K136" s="0" t="s">
        <v>20</v>
      </c>
      <c r="L136" s="0" t="n">
        <f aca="false">IF(K136=" ALARM",1,0)</f>
        <v>1</v>
      </c>
      <c r="M136" s="0" t="s">
        <v>21</v>
      </c>
      <c r="N136" s="0" t="n">
        <f aca="false">IF(M136=" ALARM",1,0)</f>
        <v>0</v>
      </c>
      <c r="O136" s="0" t="s">
        <v>432</v>
      </c>
      <c r="P136" s="0" t="s">
        <v>433</v>
      </c>
      <c r="Q136" s="0" t="s">
        <v>434</v>
      </c>
    </row>
    <row r="137" customFormat="false" ht="12.8" hidden="true" customHeight="false" outlineLevel="0" collapsed="false">
      <c r="A137" s="0" t="n">
        <v>90721</v>
      </c>
      <c r="B137" s="0" t="s">
        <v>435</v>
      </c>
      <c r="E137" s="0" t="s">
        <v>17</v>
      </c>
      <c r="F137" s="0" t="s">
        <v>35</v>
      </c>
      <c r="G137" s="0" t="n">
        <v>39</v>
      </c>
      <c r="H137" s="0" t="s">
        <v>52</v>
      </c>
      <c r="I137" s="0" t="s">
        <v>20</v>
      </c>
      <c r="J137" s="0" t="n">
        <f aca="false">IF(I137=" ALARM",1,0)</f>
        <v>1</v>
      </c>
      <c r="K137" s="0" t="s">
        <v>20</v>
      </c>
      <c r="L137" s="0" t="n">
        <f aca="false">IF(K137=" ALARM",1,0)</f>
        <v>1</v>
      </c>
      <c r="M137" s="0" t="s">
        <v>30</v>
      </c>
      <c r="N137" s="0" t="n">
        <f aca="false">IF(M137=" ALARM",1,0)</f>
        <v>0</v>
      </c>
      <c r="O137" s="0" t="s">
        <v>436</v>
      </c>
      <c r="P137" s="0" t="s">
        <v>437</v>
      </c>
      <c r="Q137" s="0" t="s">
        <v>438</v>
      </c>
    </row>
    <row r="138" customFormat="false" ht="12.8" hidden="true" customHeight="false" outlineLevel="0" collapsed="false">
      <c r="A138" s="0" t="n">
        <v>89522</v>
      </c>
      <c r="B138" s="0" t="s">
        <v>439</v>
      </c>
      <c r="E138" s="0" t="s">
        <v>17</v>
      </c>
      <c r="F138" s="0" t="s">
        <v>35</v>
      </c>
      <c r="G138" s="0" t="n">
        <v>694</v>
      </c>
      <c r="H138" s="0" t="s">
        <v>52</v>
      </c>
      <c r="I138" s="0" t="s">
        <v>21</v>
      </c>
      <c r="J138" s="0" t="n">
        <f aca="false">IF(I138=" ALARM",1,0)</f>
        <v>0</v>
      </c>
      <c r="K138" s="0" t="s">
        <v>21</v>
      </c>
      <c r="L138" s="0" t="n">
        <f aca="false">IF(K138=" ALARM",1,0)</f>
        <v>0</v>
      </c>
      <c r="M138" s="0" t="s">
        <v>20</v>
      </c>
      <c r="N138" s="0" t="n">
        <f aca="false">IF(M138=" ALARM",1,0)</f>
        <v>1</v>
      </c>
      <c r="O138" s="0" t="s">
        <v>440</v>
      </c>
      <c r="P138" s="0" t="s">
        <v>440</v>
      </c>
      <c r="Q138" s="0" t="s">
        <v>441</v>
      </c>
    </row>
    <row r="139" customFormat="false" ht="12.8" hidden="true" customHeight="false" outlineLevel="0" collapsed="false">
      <c r="A139" s="0" t="n">
        <v>91293</v>
      </c>
      <c r="B139" s="0" t="s">
        <v>442</v>
      </c>
      <c r="E139" s="0" t="s">
        <v>17</v>
      </c>
      <c r="F139" s="0" t="s">
        <v>18</v>
      </c>
      <c r="G139" s="0" t="n">
        <v>718</v>
      </c>
      <c r="H139" s="0" t="s">
        <v>52</v>
      </c>
      <c r="I139" s="0" t="s">
        <v>21</v>
      </c>
      <c r="J139" s="0" t="n">
        <f aca="false">IF(I139=" ALARM",1,0)</f>
        <v>0</v>
      </c>
      <c r="K139" s="0" t="s">
        <v>21</v>
      </c>
      <c r="L139" s="0" t="n">
        <f aca="false">IF(K139=" ALARM",1,0)</f>
        <v>0</v>
      </c>
      <c r="M139" s="0" t="s">
        <v>20</v>
      </c>
      <c r="N139" s="0" t="n">
        <f aca="false">IF(M139=" ALARM",1,0)</f>
        <v>1</v>
      </c>
      <c r="O139" s="0" t="s">
        <v>440</v>
      </c>
      <c r="P139" s="0" t="s">
        <v>440</v>
      </c>
      <c r="Q139" s="0" t="s">
        <v>443</v>
      </c>
    </row>
    <row r="140" customFormat="false" ht="12.8" hidden="true" customHeight="false" outlineLevel="0" collapsed="false">
      <c r="A140" s="0" t="n">
        <v>91179</v>
      </c>
      <c r="B140" s="0" t="s">
        <v>444</v>
      </c>
      <c r="E140" s="0" t="s">
        <v>17</v>
      </c>
      <c r="F140" s="0" t="s">
        <v>97</v>
      </c>
      <c r="G140" s="0" t="n">
        <v>718</v>
      </c>
      <c r="H140" s="0" t="s">
        <v>52</v>
      </c>
      <c r="I140" s="0" t="s">
        <v>21</v>
      </c>
      <c r="J140" s="0" t="n">
        <f aca="false">IF(I140=" ALARM",1,0)</f>
        <v>0</v>
      </c>
      <c r="K140" s="0" t="s">
        <v>21</v>
      </c>
      <c r="L140" s="0" t="n">
        <f aca="false">IF(K140=" ALARM",1,0)</f>
        <v>0</v>
      </c>
      <c r="M140" s="0" t="s">
        <v>20</v>
      </c>
      <c r="N140" s="0" t="n">
        <f aca="false">IF(M140=" ALARM",1,0)</f>
        <v>1</v>
      </c>
      <c r="O140" s="0" t="s">
        <v>249</v>
      </c>
      <c r="P140" s="0" t="s">
        <v>249</v>
      </c>
    </row>
    <row r="141" customFormat="false" ht="12.8" hidden="true" customHeight="false" outlineLevel="0" collapsed="false">
      <c r="A141" s="0" t="n">
        <v>98163</v>
      </c>
      <c r="B141" s="0" t="s">
        <v>445</v>
      </c>
      <c r="E141" s="0" t="s">
        <v>17</v>
      </c>
      <c r="F141" s="0" t="s">
        <v>35</v>
      </c>
      <c r="G141" s="0" t="n">
        <v>39</v>
      </c>
      <c r="H141" s="0" t="s">
        <v>52</v>
      </c>
      <c r="I141" s="0" t="s">
        <v>20</v>
      </c>
      <c r="J141" s="0" t="n">
        <f aca="false">IF(I141=" ALARM",1,0)</f>
        <v>1</v>
      </c>
      <c r="K141" s="0" t="s">
        <v>20</v>
      </c>
      <c r="L141" s="0" t="n">
        <f aca="false">IF(K141=" ALARM",1,0)</f>
        <v>1</v>
      </c>
      <c r="M141" s="0" t="s">
        <v>20</v>
      </c>
      <c r="N141" s="0" t="n">
        <f aca="false">IF(M141=" ALARM",1,0)</f>
        <v>1</v>
      </c>
      <c r="O141" s="0" t="s">
        <v>446</v>
      </c>
      <c r="P141" s="0" t="s">
        <v>447</v>
      </c>
      <c r="Q141" s="0" t="s">
        <v>448</v>
      </c>
    </row>
    <row r="142" customFormat="false" ht="12.8" hidden="true" customHeight="false" outlineLevel="0" collapsed="false">
      <c r="A142" s="0" t="n">
        <v>98167</v>
      </c>
      <c r="B142" s="0" t="s">
        <v>449</v>
      </c>
      <c r="E142" s="0" t="s">
        <v>17</v>
      </c>
      <c r="F142" s="0" t="s">
        <v>35</v>
      </c>
      <c r="G142" s="0" t="n">
        <v>39</v>
      </c>
      <c r="H142" s="0" t="s">
        <v>52</v>
      </c>
      <c r="I142" s="0" t="s">
        <v>20</v>
      </c>
      <c r="J142" s="0" t="n">
        <f aca="false">IF(I142=" ALARM",1,0)</f>
        <v>1</v>
      </c>
      <c r="K142" s="0" t="s">
        <v>20</v>
      </c>
      <c r="L142" s="0" t="n">
        <f aca="false">IF(K142=" ALARM",1,0)</f>
        <v>1</v>
      </c>
      <c r="M142" s="0" t="s">
        <v>20</v>
      </c>
      <c r="N142" s="0" t="n">
        <f aca="false">IF(M142=" ALARM",1,0)</f>
        <v>1</v>
      </c>
      <c r="O142" s="0" t="s">
        <v>450</v>
      </c>
      <c r="P142" s="0" t="s">
        <v>451</v>
      </c>
      <c r="Q142" s="0" t="s">
        <v>452</v>
      </c>
    </row>
    <row r="143" customFormat="false" ht="12.8" hidden="true" customHeight="false" outlineLevel="0" collapsed="false">
      <c r="A143" s="0" t="n">
        <v>97878</v>
      </c>
      <c r="B143" s="0" t="s">
        <v>453</v>
      </c>
      <c r="E143" s="0" t="s">
        <v>17</v>
      </c>
      <c r="F143" s="0" t="s">
        <v>35</v>
      </c>
      <c r="G143" s="0" t="n">
        <v>733</v>
      </c>
      <c r="H143" s="0" t="s">
        <v>52</v>
      </c>
      <c r="I143" s="0" t="s">
        <v>20</v>
      </c>
      <c r="J143" s="0" t="n">
        <f aca="false">IF(I143=" ALARM",1,0)</f>
        <v>1</v>
      </c>
      <c r="K143" s="0" t="s">
        <v>20</v>
      </c>
      <c r="L143" s="0" t="n">
        <f aca="false">IF(K143=" ALARM",1,0)</f>
        <v>1</v>
      </c>
      <c r="M143" s="0" t="s">
        <v>20</v>
      </c>
      <c r="N143" s="0" t="n">
        <f aca="false">IF(M143=" ALARM",1,0)</f>
        <v>1</v>
      </c>
      <c r="O143" s="0" t="s">
        <v>454</v>
      </c>
      <c r="P143" s="0" t="s">
        <v>455</v>
      </c>
    </row>
    <row r="144" customFormat="false" ht="12.8" hidden="true" customHeight="false" outlineLevel="0" collapsed="false">
      <c r="A144" s="0" t="n">
        <v>97893</v>
      </c>
      <c r="B144" s="0" t="s">
        <v>456</v>
      </c>
      <c r="E144" s="0" t="s">
        <v>17</v>
      </c>
      <c r="F144" s="0" t="s">
        <v>35</v>
      </c>
      <c r="G144" s="0" t="n">
        <v>733</v>
      </c>
      <c r="H144" s="0" t="s">
        <v>52</v>
      </c>
      <c r="I144" s="0" t="s">
        <v>20</v>
      </c>
      <c r="J144" s="0" t="n">
        <f aca="false">IF(I144=" ALARM",1,0)</f>
        <v>1</v>
      </c>
      <c r="K144" s="0" t="s">
        <v>20</v>
      </c>
      <c r="L144" s="0" t="n">
        <f aca="false">IF(K144=" ALARM",1,0)</f>
        <v>1</v>
      </c>
      <c r="M144" s="0" t="s">
        <v>20</v>
      </c>
      <c r="N144" s="0" t="n">
        <f aca="false">IF(M144=" ALARM",1,0)</f>
        <v>1</v>
      </c>
      <c r="O144" s="0" t="s">
        <v>457</v>
      </c>
      <c r="P144" s="0" t="s">
        <v>458</v>
      </c>
    </row>
    <row r="145" customFormat="false" ht="12.8" hidden="true" customHeight="false" outlineLevel="0" collapsed="false">
      <c r="A145" s="0" t="n">
        <v>104899</v>
      </c>
      <c r="B145" s="0" t="s">
        <v>459</v>
      </c>
      <c r="E145" s="0" t="s">
        <v>17</v>
      </c>
      <c r="F145" s="0" t="s">
        <v>18</v>
      </c>
      <c r="G145" s="0" t="n">
        <v>39</v>
      </c>
      <c r="H145" s="0" t="s">
        <v>52</v>
      </c>
      <c r="I145" s="0" t="s">
        <v>20</v>
      </c>
      <c r="J145" s="0" t="n">
        <f aca="false">IF(I145=" ALARM",1,0)</f>
        <v>1</v>
      </c>
      <c r="K145" s="0" t="s">
        <v>20</v>
      </c>
      <c r="L145" s="0" t="n">
        <f aca="false">IF(K145=" ALARM",1,0)</f>
        <v>1</v>
      </c>
      <c r="M145" s="0" t="s">
        <v>20</v>
      </c>
      <c r="N145" s="0" t="n">
        <f aca="false">IF(M145=" ALARM",1,0)</f>
        <v>1</v>
      </c>
      <c r="O145" s="0" t="s">
        <v>460</v>
      </c>
      <c r="P145" s="0" t="s">
        <v>461</v>
      </c>
      <c r="Q145" s="0" t="s">
        <v>462</v>
      </c>
    </row>
    <row r="146" customFormat="false" ht="12.8" hidden="true" customHeight="false" outlineLevel="0" collapsed="false">
      <c r="A146" s="0" t="n">
        <v>115492</v>
      </c>
      <c r="B146" s="0" t="s">
        <v>463</v>
      </c>
      <c r="E146" s="0" t="s">
        <v>17</v>
      </c>
      <c r="F146" s="0" t="s">
        <v>18</v>
      </c>
      <c r="G146" s="0" t="n">
        <v>39</v>
      </c>
      <c r="H146" s="0" t="s">
        <v>52</v>
      </c>
      <c r="I146" s="0" t="s">
        <v>21</v>
      </c>
      <c r="J146" s="0" t="n">
        <f aca="false">IF(I146=" ALARM",1,0)</f>
        <v>0</v>
      </c>
      <c r="K146" s="0" t="s">
        <v>20</v>
      </c>
      <c r="L146" s="0" t="n">
        <f aca="false">IF(K146=" ALARM",1,0)</f>
        <v>1</v>
      </c>
      <c r="M146" s="0" t="s">
        <v>21</v>
      </c>
      <c r="N146" s="0" t="n">
        <f aca="false">IF(M146=" ALARM",1,0)</f>
        <v>0</v>
      </c>
      <c r="O146" s="0" t="s">
        <v>119</v>
      </c>
      <c r="P146" s="0" t="s">
        <v>464</v>
      </c>
      <c r="Q146" s="0" t="s">
        <v>465</v>
      </c>
    </row>
    <row r="147" customFormat="false" ht="12.8" hidden="true" customHeight="false" outlineLevel="0" collapsed="false">
      <c r="A147" s="0" t="n">
        <v>118683</v>
      </c>
      <c r="B147" s="0" t="s">
        <v>466</v>
      </c>
      <c r="E147" s="0" t="s">
        <v>17</v>
      </c>
      <c r="F147" s="0" t="s">
        <v>18</v>
      </c>
      <c r="G147" s="0" t="n">
        <v>39</v>
      </c>
      <c r="H147" s="0" t="s">
        <v>52</v>
      </c>
      <c r="I147" s="0" t="s">
        <v>20</v>
      </c>
      <c r="J147" s="0" t="n">
        <f aca="false">IF(I147=" ALARM",1,0)</f>
        <v>1</v>
      </c>
      <c r="K147" s="0" t="s">
        <v>20</v>
      </c>
      <c r="L147" s="0" t="n">
        <f aca="false">IF(K147=" ALARM",1,0)</f>
        <v>1</v>
      </c>
      <c r="M147" s="0" t="s">
        <v>20</v>
      </c>
      <c r="N147" s="0" t="n">
        <f aca="false">IF(M147=" ALARM",1,0)</f>
        <v>1</v>
      </c>
      <c r="O147" s="0" t="s">
        <v>467</v>
      </c>
      <c r="P147" s="0" t="s">
        <v>468</v>
      </c>
      <c r="Q147" s="0" t="s">
        <v>469</v>
      </c>
    </row>
    <row r="148" customFormat="false" ht="12.8" hidden="true" customHeight="false" outlineLevel="0" collapsed="false">
      <c r="A148" s="0" t="n">
        <v>118687</v>
      </c>
      <c r="B148" s="0" t="s">
        <v>470</v>
      </c>
      <c r="E148" s="0" t="s">
        <v>17</v>
      </c>
      <c r="F148" s="0" t="s">
        <v>18</v>
      </c>
      <c r="G148" s="0" t="n">
        <v>39</v>
      </c>
      <c r="H148" s="0" t="s">
        <v>52</v>
      </c>
      <c r="I148" s="0" t="s">
        <v>20</v>
      </c>
      <c r="J148" s="0" t="n">
        <f aca="false">IF(I148=" ALARM",1,0)</f>
        <v>1</v>
      </c>
      <c r="K148" s="0" t="s">
        <v>20</v>
      </c>
      <c r="L148" s="0" t="n">
        <f aca="false">IF(K148=" ALARM",1,0)</f>
        <v>1</v>
      </c>
      <c r="M148" s="0" t="s">
        <v>20</v>
      </c>
      <c r="N148" s="0" t="n">
        <f aca="false">IF(M148=" ALARM",1,0)</f>
        <v>1</v>
      </c>
      <c r="O148" s="0" t="s">
        <v>31</v>
      </c>
      <c r="P148" s="0" t="s">
        <v>471</v>
      </c>
      <c r="Q148" s="0" t="s">
        <v>472</v>
      </c>
    </row>
    <row r="149" customFormat="false" ht="12.8" hidden="true" customHeight="false" outlineLevel="0" collapsed="false">
      <c r="A149" s="0" t="n">
        <v>121437</v>
      </c>
      <c r="B149" s="0" t="s">
        <v>473</v>
      </c>
      <c r="E149" s="0" t="s">
        <v>17</v>
      </c>
      <c r="F149" s="0" t="s">
        <v>18</v>
      </c>
      <c r="G149" s="0" t="n">
        <v>39</v>
      </c>
      <c r="H149" s="0" t="s">
        <v>52</v>
      </c>
      <c r="I149" s="0" t="s">
        <v>20</v>
      </c>
      <c r="J149" s="0" t="n">
        <f aca="false">IF(I149=" ALARM",1,0)</f>
        <v>1</v>
      </c>
      <c r="K149" s="0" t="s">
        <v>20</v>
      </c>
      <c r="L149" s="0" t="n">
        <f aca="false">IF(K149=" ALARM",1,0)</f>
        <v>1</v>
      </c>
      <c r="M149" s="0" t="s">
        <v>21</v>
      </c>
      <c r="N149" s="0" t="n">
        <f aca="false">IF(M149=" ALARM",1,0)</f>
        <v>0</v>
      </c>
      <c r="O149" s="0" t="s">
        <v>474</v>
      </c>
      <c r="P149" s="0" t="s">
        <v>475</v>
      </c>
      <c r="Q149" s="0" t="s">
        <v>476</v>
      </c>
    </row>
    <row r="150" customFormat="false" ht="12.8" hidden="true" customHeight="false" outlineLevel="0" collapsed="false">
      <c r="A150" s="0" t="n">
        <v>128281</v>
      </c>
      <c r="B150" s="0" t="s">
        <v>477</v>
      </c>
      <c r="E150" s="0" t="s">
        <v>17</v>
      </c>
      <c r="F150" s="0" t="s">
        <v>18</v>
      </c>
      <c r="G150" s="0" t="n">
        <v>39</v>
      </c>
      <c r="H150" s="0" t="s">
        <v>52</v>
      </c>
      <c r="I150" s="0" t="s">
        <v>20</v>
      </c>
      <c r="J150" s="0" t="n">
        <f aca="false">IF(I150=" ALARM",1,0)</f>
        <v>1</v>
      </c>
      <c r="K150" s="0" t="s">
        <v>20</v>
      </c>
      <c r="L150" s="0" t="n">
        <f aca="false">IF(K150=" ALARM",1,0)</f>
        <v>1</v>
      </c>
      <c r="M150" s="0" t="s">
        <v>20</v>
      </c>
      <c r="N150" s="0" t="n">
        <f aca="false">IF(M150=" ALARM",1,0)</f>
        <v>1</v>
      </c>
      <c r="O150" s="0" t="s">
        <v>478</v>
      </c>
      <c r="P150" s="0" t="s">
        <v>479</v>
      </c>
      <c r="Q150" s="0" t="s">
        <v>480</v>
      </c>
    </row>
    <row r="151" customFormat="false" ht="12.8" hidden="true" customHeight="false" outlineLevel="0" collapsed="false">
      <c r="A151" s="0" t="n">
        <v>139198</v>
      </c>
      <c r="B151" s="0" t="s">
        <v>481</v>
      </c>
      <c r="E151" s="0" t="s">
        <v>17</v>
      </c>
      <c r="F151" s="0" t="s">
        <v>18</v>
      </c>
      <c r="G151" s="0" t="n">
        <v>39</v>
      </c>
      <c r="H151" s="0" t="s">
        <v>52</v>
      </c>
      <c r="I151" s="0" t="s">
        <v>20</v>
      </c>
      <c r="J151" s="0" t="n">
        <f aca="false">IF(I151=" ALARM",1,0)</f>
        <v>1</v>
      </c>
      <c r="K151" s="0" t="s">
        <v>20</v>
      </c>
      <c r="L151" s="0" t="n">
        <f aca="false">IF(K151=" ALARM",1,0)</f>
        <v>1</v>
      </c>
      <c r="M151" s="0" t="s">
        <v>30</v>
      </c>
      <c r="N151" s="0" t="n">
        <f aca="false">IF(M151=" ALARM",1,0)</f>
        <v>0</v>
      </c>
      <c r="O151" s="0" t="s">
        <v>482</v>
      </c>
      <c r="P151" s="0" t="s">
        <v>483</v>
      </c>
      <c r="Q151" s="0" t="s">
        <v>484</v>
      </c>
    </row>
    <row r="152" customFormat="false" ht="12.8" hidden="true" customHeight="false" outlineLevel="0" collapsed="false">
      <c r="A152" s="0" t="n">
        <v>144990</v>
      </c>
      <c r="B152" s="0" t="s">
        <v>485</v>
      </c>
      <c r="E152" s="0" t="s">
        <v>17</v>
      </c>
      <c r="F152" s="0" t="s">
        <v>35</v>
      </c>
      <c r="G152" s="0" t="n">
        <v>39</v>
      </c>
      <c r="H152" s="0" t="s">
        <v>52</v>
      </c>
      <c r="I152" s="0" t="s">
        <v>20</v>
      </c>
      <c r="J152" s="0" t="n">
        <f aca="false">IF(I152=" ALARM",1,0)</f>
        <v>1</v>
      </c>
      <c r="K152" s="0" t="s">
        <v>20</v>
      </c>
      <c r="L152" s="0" t="n">
        <f aca="false">IF(K152=" ALARM",1,0)</f>
        <v>1</v>
      </c>
      <c r="M152" s="0" t="s">
        <v>20</v>
      </c>
      <c r="N152" s="0" t="n">
        <f aca="false">IF(M152=" ALARM",1,0)</f>
        <v>1</v>
      </c>
      <c r="O152" s="0" t="s">
        <v>486</v>
      </c>
      <c r="P152" s="0" t="s">
        <v>487</v>
      </c>
      <c r="Q152" s="0" t="s">
        <v>488</v>
      </c>
    </row>
    <row r="153" customFormat="false" ht="12.8" hidden="true" customHeight="false" outlineLevel="0" collapsed="false">
      <c r="A153" s="0" t="n">
        <v>147358</v>
      </c>
      <c r="B153" s="0" t="s">
        <v>489</v>
      </c>
      <c r="E153" s="0" t="s">
        <v>17</v>
      </c>
      <c r="F153" s="0" t="s">
        <v>18</v>
      </c>
      <c r="G153" s="0" t="n">
        <v>39</v>
      </c>
      <c r="H153" s="0" t="s">
        <v>490</v>
      </c>
      <c r="I153" s="0" t="s">
        <v>20</v>
      </c>
      <c r="J153" s="0" t="n">
        <f aca="false">IF(I153=" ALARM",1,0)</f>
        <v>1</v>
      </c>
      <c r="K153" s="0" t="s">
        <v>20</v>
      </c>
      <c r="L153" s="0" t="n">
        <f aca="false">IF(K153=" ALARM",1,0)</f>
        <v>1</v>
      </c>
      <c r="M153" s="0" t="s">
        <v>21</v>
      </c>
      <c r="N153" s="0" t="n">
        <f aca="false">IF(M153=" ALARM",1,0)</f>
        <v>0</v>
      </c>
      <c r="O153" s="0" t="s">
        <v>491</v>
      </c>
      <c r="P153" s="0" t="s">
        <v>492</v>
      </c>
      <c r="Q153" s="0" t="s">
        <v>493</v>
      </c>
    </row>
    <row r="154" customFormat="false" ht="12.8" hidden="true" customHeight="false" outlineLevel="0" collapsed="false">
      <c r="A154" s="0" t="n">
        <v>147357</v>
      </c>
      <c r="B154" s="0" t="s">
        <v>494</v>
      </c>
      <c r="E154" s="0" t="s">
        <v>17</v>
      </c>
      <c r="F154" s="0" t="s">
        <v>18</v>
      </c>
      <c r="G154" s="0" t="n">
        <v>39</v>
      </c>
      <c r="H154" s="0" t="s">
        <v>490</v>
      </c>
      <c r="I154" s="0" t="s">
        <v>30</v>
      </c>
      <c r="J154" s="0" t="n">
        <f aca="false">IF(I154=" ALARM",1,0)</f>
        <v>0</v>
      </c>
      <c r="K154" s="0" t="s">
        <v>20</v>
      </c>
      <c r="L154" s="0" t="n">
        <f aca="false">IF(K154=" ALARM",1,0)</f>
        <v>1</v>
      </c>
      <c r="M154" s="0" t="s">
        <v>30</v>
      </c>
      <c r="N154" s="0" t="n">
        <f aca="false">IF(M154=" ALARM",1,0)</f>
        <v>0</v>
      </c>
      <c r="O154" s="0" t="s">
        <v>495</v>
      </c>
      <c r="P154" s="0" t="s">
        <v>496</v>
      </c>
      <c r="Q154" s="0" t="s">
        <v>497</v>
      </c>
    </row>
    <row r="155" customFormat="false" ht="12.8" hidden="true" customHeight="false" outlineLevel="0" collapsed="false">
      <c r="A155" s="0" t="n">
        <v>135637</v>
      </c>
      <c r="B155" s="0" t="s">
        <v>498</v>
      </c>
      <c r="E155" s="0" t="s">
        <v>17</v>
      </c>
      <c r="F155" s="0" t="s">
        <v>97</v>
      </c>
      <c r="G155" s="0" t="n">
        <v>487</v>
      </c>
      <c r="H155" s="0" t="s">
        <v>52</v>
      </c>
      <c r="I155" s="0" t="s">
        <v>21</v>
      </c>
      <c r="J155" s="0" t="n">
        <f aca="false">IF(I155=" ALARM",1,0)</f>
        <v>0</v>
      </c>
      <c r="K155" s="0" t="s">
        <v>21</v>
      </c>
      <c r="L155" s="0" t="n">
        <f aca="false">IF(K155=" ALARM",1,0)</f>
        <v>0</v>
      </c>
      <c r="M155" s="0" t="s">
        <v>20</v>
      </c>
      <c r="N155" s="0" t="n">
        <f aca="false">IF(M155=" ALARM",1,0)</f>
        <v>1</v>
      </c>
      <c r="O155" s="0" t="s">
        <v>69</v>
      </c>
      <c r="P155" s="0" t="s">
        <v>69</v>
      </c>
      <c r="Q155" s="0" t="s">
        <v>499</v>
      </c>
    </row>
    <row r="156" customFormat="false" ht="12.8" hidden="true" customHeight="false" outlineLevel="0" collapsed="false">
      <c r="A156" s="0" t="n">
        <v>135673</v>
      </c>
      <c r="B156" s="0" t="s">
        <v>500</v>
      </c>
      <c r="E156" s="0" t="s">
        <v>17</v>
      </c>
      <c r="F156" s="0" t="s">
        <v>18</v>
      </c>
      <c r="G156" s="0" t="n">
        <v>487</v>
      </c>
      <c r="H156" s="0" t="s">
        <v>52</v>
      </c>
      <c r="I156" s="0" t="s">
        <v>20</v>
      </c>
      <c r="J156" s="0" t="n">
        <f aca="false">IF(I156=" ALARM",1,0)</f>
        <v>1</v>
      </c>
      <c r="K156" s="0" t="s">
        <v>20</v>
      </c>
      <c r="L156" s="0" t="n">
        <f aca="false">IF(K156=" ALARM",1,0)</f>
        <v>1</v>
      </c>
      <c r="M156" s="0" t="s">
        <v>20</v>
      </c>
      <c r="N156" s="0" t="n">
        <f aca="false">IF(M156=" ALARM",1,0)</f>
        <v>1</v>
      </c>
      <c r="O156" s="0" t="s">
        <v>501</v>
      </c>
      <c r="P156" s="0" t="s">
        <v>502</v>
      </c>
    </row>
    <row r="157" customFormat="false" ht="12.8" hidden="true" customHeight="false" outlineLevel="0" collapsed="false">
      <c r="A157" s="0" t="n">
        <v>135878</v>
      </c>
      <c r="B157" s="0" t="s">
        <v>503</v>
      </c>
      <c r="E157" s="0" t="s">
        <v>17</v>
      </c>
      <c r="F157" s="0" t="s">
        <v>35</v>
      </c>
      <c r="G157" s="0" t="n">
        <v>487</v>
      </c>
      <c r="H157" s="0" t="s">
        <v>52</v>
      </c>
      <c r="I157" s="0" t="s">
        <v>21</v>
      </c>
      <c r="J157" s="0" t="n">
        <f aca="false">IF(I157=" ALARM",1,0)</f>
        <v>0</v>
      </c>
      <c r="K157" s="0" t="s">
        <v>20</v>
      </c>
      <c r="L157" s="0" t="n">
        <f aca="false">IF(K157=" ALARM",1,0)</f>
        <v>1</v>
      </c>
      <c r="M157" s="0" t="s">
        <v>20</v>
      </c>
      <c r="N157" s="0" t="n">
        <f aca="false">IF(M157=" ALARM",1,0)</f>
        <v>1</v>
      </c>
      <c r="O157" s="0" t="s">
        <v>69</v>
      </c>
      <c r="P157" s="0" t="s">
        <v>504</v>
      </c>
    </row>
    <row r="158" customFormat="false" ht="12.8" hidden="true" customHeight="false" outlineLevel="0" collapsed="false">
      <c r="A158" s="0" t="n">
        <v>135888</v>
      </c>
      <c r="B158" s="0" t="s">
        <v>505</v>
      </c>
      <c r="E158" s="0" t="s">
        <v>17</v>
      </c>
      <c r="F158" s="0" t="s">
        <v>18</v>
      </c>
      <c r="G158" s="0" t="n">
        <v>487</v>
      </c>
      <c r="H158" s="0" t="s">
        <v>52</v>
      </c>
      <c r="I158" s="0" t="s">
        <v>20</v>
      </c>
      <c r="J158" s="0" t="n">
        <f aca="false">IF(I158=" ALARM",1,0)</f>
        <v>1</v>
      </c>
      <c r="K158" s="0" t="s">
        <v>20</v>
      </c>
      <c r="L158" s="0" t="n">
        <f aca="false">IF(K158=" ALARM",1,0)</f>
        <v>1</v>
      </c>
      <c r="M158" s="0" t="s">
        <v>20</v>
      </c>
      <c r="N158" s="0" t="n">
        <f aca="false">IF(M158=" ALARM",1,0)</f>
        <v>1</v>
      </c>
      <c r="O158" s="0" t="s">
        <v>506</v>
      </c>
      <c r="P158" s="0" t="s">
        <v>507</v>
      </c>
      <c r="Q158" s="0" t="s">
        <v>508</v>
      </c>
    </row>
    <row r="159" customFormat="false" ht="12.8" hidden="true" customHeight="false" outlineLevel="0" collapsed="false">
      <c r="A159" s="0" t="n">
        <v>135923</v>
      </c>
      <c r="B159" s="0" t="s">
        <v>509</v>
      </c>
      <c r="E159" s="0" t="s">
        <v>17</v>
      </c>
      <c r="F159" s="0" t="s">
        <v>97</v>
      </c>
      <c r="G159" s="0" t="n">
        <v>487</v>
      </c>
      <c r="H159" s="0" t="s">
        <v>52</v>
      </c>
      <c r="I159" s="0" t="s">
        <v>21</v>
      </c>
      <c r="J159" s="0" t="n">
        <f aca="false">IF(I159=" ALARM",1,0)</f>
        <v>0</v>
      </c>
      <c r="K159" s="0" t="s">
        <v>21</v>
      </c>
      <c r="L159" s="0" t="n">
        <f aca="false">IF(K159=" ALARM",1,0)</f>
        <v>0</v>
      </c>
      <c r="M159" s="0" t="s">
        <v>20</v>
      </c>
      <c r="N159" s="0" t="n">
        <f aca="false">IF(M159=" ALARM",1,0)</f>
        <v>1</v>
      </c>
      <c r="O159" s="0" t="s">
        <v>510</v>
      </c>
      <c r="P159" s="0" t="s">
        <v>510</v>
      </c>
    </row>
    <row r="160" customFormat="false" ht="12.8" hidden="true" customHeight="false" outlineLevel="0" collapsed="false">
      <c r="A160" s="0" t="n">
        <v>146771</v>
      </c>
      <c r="B160" s="0" t="s">
        <v>511</v>
      </c>
      <c r="E160" s="0" t="s">
        <v>17</v>
      </c>
      <c r="F160" s="0" t="s">
        <v>97</v>
      </c>
      <c r="G160" s="0" t="n">
        <v>487</v>
      </c>
      <c r="H160" s="0" t="s">
        <v>52</v>
      </c>
      <c r="I160" s="0" t="s">
        <v>21</v>
      </c>
      <c r="J160" s="0" t="n">
        <f aca="false">IF(I160=" ALARM",1,0)</f>
        <v>0</v>
      </c>
      <c r="K160" s="0" t="s">
        <v>21</v>
      </c>
      <c r="L160" s="0" t="n">
        <f aca="false">IF(K160=" ALARM",1,0)</f>
        <v>0</v>
      </c>
      <c r="M160" s="0" t="s">
        <v>30</v>
      </c>
      <c r="N160" s="0" t="n">
        <f aca="false">IF(M160=" ALARM",1,0)</f>
        <v>0</v>
      </c>
      <c r="O160" s="0" t="s">
        <v>512</v>
      </c>
      <c r="P160" s="0" t="s">
        <v>512</v>
      </c>
    </row>
    <row r="161" customFormat="false" ht="12.8" hidden="true" customHeight="false" outlineLevel="0" collapsed="false">
      <c r="A161" s="0" t="n">
        <v>146991</v>
      </c>
      <c r="B161" s="0" t="s">
        <v>513</v>
      </c>
      <c r="E161" s="0" t="s">
        <v>17</v>
      </c>
      <c r="F161" s="0" t="s">
        <v>35</v>
      </c>
      <c r="G161" s="0" t="n">
        <v>487</v>
      </c>
      <c r="H161" s="0" t="s">
        <v>52</v>
      </c>
      <c r="I161" s="0" t="s">
        <v>21</v>
      </c>
      <c r="J161" s="0" t="n">
        <f aca="false">IF(I161=" ALARM",1,0)</f>
        <v>0</v>
      </c>
      <c r="K161" s="0" t="s">
        <v>21</v>
      </c>
      <c r="L161" s="0" t="n">
        <f aca="false">IF(K161=" ALARM",1,0)</f>
        <v>0</v>
      </c>
      <c r="M161" s="0" t="s">
        <v>30</v>
      </c>
      <c r="N161" s="0" t="n">
        <f aca="false">IF(M161=" ALARM",1,0)</f>
        <v>0</v>
      </c>
      <c r="O161" s="0" t="s">
        <v>119</v>
      </c>
      <c r="P161" s="0" t="s">
        <v>119</v>
      </c>
    </row>
    <row r="162" customFormat="false" ht="12.8" hidden="true" customHeight="false" outlineLevel="0" collapsed="false">
      <c r="A162" s="0" t="n">
        <v>147001</v>
      </c>
      <c r="B162" s="0" t="s">
        <v>514</v>
      </c>
      <c r="E162" s="0" t="s">
        <v>17</v>
      </c>
      <c r="F162" s="0" t="s">
        <v>97</v>
      </c>
      <c r="G162" s="0" t="n">
        <v>487</v>
      </c>
      <c r="H162" s="0" t="s">
        <v>52</v>
      </c>
      <c r="I162" s="0" t="s">
        <v>21</v>
      </c>
      <c r="J162" s="0" t="n">
        <f aca="false">IF(I162=" ALARM",1,0)</f>
        <v>0</v>
      </c>
      <c r="K162" s="0" t="s">
        <v>21</v>
      </c>
      <c r="L162" s="0" t="n">
        <f aca="false">IF(K162=" ALARM",1,0)</f>
        <v>0</v>
      </c>
      <c r="M162" s="0" t="s">
        <v>21</v>
      </c>
      <c r="N162" s="0" t="n">
        <f aca="false">IF(M162=" ALARM",1,0)</f>
        <v>0</v>
      </c>
      <c r="O162" s="0" t="s">
        <v>515</v>
      </c>
      <c r="P162" s="0" t="s">
        <v>515</v>
      </c>
      <c r="Q162" s="0" t="s">
        <v>516</v>
      </c>
    </row>
    <row r="163" customFormat="false" ht="12.8" hidden="true" customHeight="false" outlineLevel="0" collapsed="false">
      <c r="A163" s="0" t="n">
        <v>108675</v>
      </c>
      <c r="B163" s="0" t="s">
        <v>517</v>
      </c>
      <c r="E163" s="0" t="s">
        <v>17</v>
      </c>
      <c r="F163" s="0" t="s">
        <v>97</v>
      </c>
      <c r="G163" s="0" t="n">
        <v>718</v>
      </c>
      <c r="H163" s="0" t="s">
        <v>52</v>
      </c>
      <c r="I163" s="0" t="s">
        <v>21</v>
      </c>
      <c r="J163" s="0" t="n">
        <f aca="false">IF(I163=" ALARM",1,0)</f>
        <v>0</v>
      </c>
      <c r="K163" s="0" t="s">
        <v>21</v>
      </c>
      <c r="L163" s="0" t="n">
        <f aca="false">IF(K163=" ALARM",1,0)</f>
        <v>0</v>
      </c>
      <c r="M163" s="0" t="s">
        <v>20</v>
      </c>
      <c r="N163" s="0" t="n">
        <f aca="false">IF(M163=" ALARM",1,0)</f>
        <v>1</v>
      </c>
      <c r="O163" s="0" t="s">
        <v>440</v>
      </c>
      <c r="P163" s="0" t="s">
        <v>440</v>
      </c>
    </row>
    <row r="164" customFormat="false" ht="12.8" hidden="true" customHeight="false" outlineLevel="0" collapsed="false">
      <c r="A164" s="0" t="n">
        <v>111438</v>
      </c>
      <c r="B164" s="0" t="s">
        <v>518</v>
      </c>
      <c r="E164" s="0" t="s">
        <v>17</v>
      </c>
      <c r="F164" s="0" t="s">
        <v>35</v>
      </c>
      <c r="G164" s="0" t="n">
        <v>733</v>
      </c>
      <c r="H164" s="0" t="s">
        <v>52</v>
      </c>
      <c r="I164" s="0" t="s">
        <v>20</v>
      </c>
      <c r="J164" s="0" t="n">
        <f aca="false">IF(I164=" ALARM",1,0)</f>
        <v>1</v>
      </c>
      <c r="K164" s="0" t="s">
        <v>20</v>
      </c>
      <c r="L164" s="0" t="n">
        <f aca="false">IF(K164=" ALARM",1,0)</f>
        <v>1</v>
      </c>
      <c r="M164" s="0" t="s">
        <v>20</v>
      </c>
      <c r="N164" s="0" t="n">
        <f aca="false">IF(M164=" ALARM",1,0)</f>
        <v>1</v>
      </c>
      <c r="O164" s="0" t="s">
        <v>519</v>
      </c>
      <c r="P164" s="0" t="s">
        <v>520</v>
      </c>
    </row>
    <row r="165" customFormat="false" ht="12.8" hidden="true" customHeight="false" outlineLevel="0" collapsed="false">
      <c r="A165" s="0" t="n">
        <v>111625</v>
      </c>
      <c r="B165" s="0" t="s">
        <v>521</v>
      </c>
      <c r="E165" s="0" t="s">
        <v>17</v>
      </c>
      <c r="F165" s="0" t="s">
        <v>35</v>
      </c>
      <c r="G165" s="0" t="n">
        <v>733</v>
      </c>
      <c r="H165" s="0" t="s">
        <v>52</v>
      </c>
      <c r="I165" s="0" t="s">
        <v>20</v>
      </c>
      <c r="J165" s="0" t="n">
        <f aca="false">IF(I165=" ALARM",1,0)</f>
        <v>1</v>
      </c>
      <c r="K165" s="0" t="s">
        <v>20</v>
      </c>
      <c r="L165" s="0" t="n">
        <f aca="false">IF(K165=" ALARM",1,0)</f>
        <v>1</v>
      </c>
      <c r="M165" s="0" t="s">
        <v>20</v>
      </c>
      <c r="N165" s="0" t="n">
        <f aca="false">IF(M165=" ALARM",1,0)</f>
        <v>1</v>
      </c>
      <c r="O165" s="0" t="s">
        <v>522</v>
      </c>
      <c r="P165" s="0" t="s">
        <v>523</v>
      </c>
    </row>
    <row r="166" customFormat="false" ht="12.8" hidden="true" customHeight="false" outlineLevel="0" collapsed="false">
      <c r="A166" s="0" t="n">
        <v>112730</v>
      </c>
      <c r="B166" s="0" t="s">
        <v>524</v>
      </c>
      <c r="E166" s="0" t="s">
        <v>17</v>
      </c>
      <c r="F166" s="0" t="s">
        <v>35</v>
      </c>
      <c r="G166" s="0" t="n">
        <v>733</v>
      </c>
      <c r="H166" s="0" t="s">
        <v>52</v>
      </c>
      <c r="I166" s="0" t="s">
        <v>20</v>
      </c>
      <c r="J166" s="0" t="n">
        <f aca="false">IF(I166=" ALARM",1,0)</f>
        <v>1</v>
      </c>
      <c r="K166" s="0" t="s">
        <v>20</v>
      </c>
      <c r="L166" s="0" t="n">
        <f aca="false">IF(K166=" ALARM",1,0)</f>
        <v>1</v>
      </c>
      <c r="M166" s="0" t="s">
        <v>20</v>
      </c>
      <c r="N166" s="0" t="n">
        <f aca="false">IF(M166=" ALARM",1,0)</f>
        <v>1</v>
      </c>
      <c r="O166" s="0" t="s">
        <v>525</v>
      </c>
      <c r="P166" s="0" t="s">
        <v>526</v>
      </c>
    </row>
    <row r="167" customFormat="false" ht="12.8" hidden="true" customHeight="false" outlineLevel="0" collapsed="false">
      <c r="A167" s="0" t="n">
        <v>114430</v>
      </c>
      <c r="B167" s="0" t="s">
        <v>527</v>
      </c>
      <c r="E167" s="0" t="s">
        <v>17</v>
      </c>
      <c r="F167" s="0" t="s">
        <v>35</v>
      </c>
      <c r="G167" s="0" t="n">
        <v>733</v>
      </c>
      <c r="H167" s="0" t="s">
        <v>52</v>
      </c>
      <c r="I167" s="0" t="s">
        <v>20</v>
      </c>
      <c r="J167" s="0" t="n">
        <f aca="false">IF(I167=" ALARM",1,0)</f>
        <v>1</v>
      </c>
      <c r="K167" s="0" t="s">
        <v>20</v>
      </c>
      <c r="L167" s="0" t="n">
        <f aca="false">IF(K167=" ALARM",1,0)</f>
        <v>1</v>
      </c>
      <c r="M167" s="0" t="s">
        <v>21</v>
      </c>
      <c r="N167" s="0" t="n">
        <f aca="false">IF(M167=" ALARM",1,0)</f>
        <v>0</v>
      </c>
      <c r="O167" s="0" t="s">
        <v>528</v>
      </c>
      <c r="P167" s="0" t="s">
        <v>529</v>
      </c>
    </row>
    <row r="168" customFormat="false" ht="12.8" hidden="true" customHeight="false" outlineLevel="0" collapsed="false">
      <c r="A168" s="0" t="n">
        <v>116252</v>
      </c>
      <c r="B168" s="0" t="s">
        <v>530</v>
      </c>
      <c r="E168" s="0" t="s">
        <v>17</v>
      </c>
      <c r="F168" s="0" t="s">
        <v>35</v>
      </c>
      <c r="G168" s="0" t="n">
        <v>733</v>
      </c>
      <c r="H168" s="0" t="s">
        <v>52</v>
      </c>
      <c r="I168" s="0" t="s">
        <v>21</v>
      </c>
      <c r="J168" s="0" t="n">
        <f aca="false">IF(I168=" ALARM",1,0)</f>
        <v>0</v>
      </c>
      <c r="K168" s="0" t="s">
        <v>20</v>
      </c>
      <c r="L168" s="0" t="n">
        <f aca="false">IF(K168=" ALARM",1,0)</f>
        <v>1</v>
      </c>
      <c r="M168" s="0" t="s">
        <v>20</v>
      </c>
      <c r="N168" s="0" t="n">
        <f aca="false">IF(M168=" ALARM",1,0)</f>
        <v>1</v>
      </c>
      <c r="O168" s="0" t="s">
        <v>440</v>
      </c>
      <c r="P168" s="0" t="s">
        <v>531</v>
      </c>
    </row>
    <row r="169" customFormat="false" ht="12.8" hidden="true" customHeight="false" outlineLevel="0" collapsed="false">
      <c r="A169" s="0" t="n">
        <v>117219</v>
      </c>
      <c r="B169" s="0" t="s">
        <v>532</v>
      </c>
      <c r="E169" s="0" t="s">
        <v>17</v>
      </c>
      <c r="F169" s="0" t="s">
        <v>35</v>
      </c>
      <c r="G169" s="0" t="n">
        <v>733</v>
      </c>
      <c r="H169" s="0" t="s">
        <v>52</v>
      </c>
      <c r="I169" s="0" t="s">
        <v>20</v>
      </c>
      <c r="J169" s="0" t="n">
        <f aca="false">IF(I169=" ALARM",1,0)</f>
        <v>1</v>
      </c>
      <c r="K169" s="0" t="s">
        <v>20</v>
      </c>
      <c r="L169" s="0" t="n">
        <f aca="false">IF(K169=" ALARM",1,0)</f>
        <v>1</v>
      </c>
      <c r="M169" s="0" t="s">
        <v>20</v>
      </c>
      <c r="N169" s="0" t="n">
        <f aca="false">IF(M169=" ALARM",1,0)</f>
        <v>1</v>
      </c>
      <c r="O169" s="0" t="s">
        <v>533</v>
      </c>
      <c r="P169" s="0" t="s">
        <v>534</v>
      </c>
    </row>
    <row r="170" customFormat="false" ht="12.8" hidden="true" customHeight="false" outlineLevel="0" collapsed="false">
      <c r="A170" s="0" t="n">
        <v>121746</v>
      </c>
      <c r="B170" s="0" t="s">
        <v>535</v>
      </c>
      <c r="E170" s="0" t="s">
        <v>17</v>
      </c>
      <c r="F170" s="0" t="s">
        <v>35</v>
      </c>
      <c r="G170" s="0" t="n">
        <v>733</v>
      </c>
      <c r="H170" s="0" t="s">
        <v>52</v>
      </c>
      <c r="I170" s="0" t="s">
        <v>20</v>
      </c>
      <c r="J170" s="0" t="n">
        <f aca="false">IF(I170=" ALARM",1,0)</f>
        <v>1</v>
      </c>
      <c r="K170" s="0" t="s">
        <v>20</v>
      </c>
      <c r="L170" s="0" t="n">
        <f aca="false">IF(K170=" ALARM",1,0)</f>
        <v>1</v>
      </c>
      <c r="M170" s="0" t="s">
        <v>30</v>
      </c>
      <c r="N170" s="0" t="n">
        <f aca="false">IF(M170=" ALARM",1,0)</f>
        <v>0</v>
      </c>
      <c r="O170" s="0" t="s">
        <v>536</v>
      </c>
      <c r="P170" s="0" t="s">
        <v>537</v>
      </c>
    </row>
    <row r="171" customFormat="false" ht="12.8" hidden="true" customHeight="false" outlineLevel="0" collapsed="false">
      <c r="A171" s="0" t="n">
        <v>127025</v>
      </c>
      <c r="B171" s="0" t="s">
        <v>538</v>
      </c>
      <c r="E171" s="0" t="s">
        <v>17</v>
      </c>
      <c r="F171" s="0" t="s">
        <v>35</v>
      </c>
      <c r="G171" s="0" t="n">
        <v>733</v>
      </c>
      <c r="H171" s="0" t="s">
        <v>52</v>
      </c>
      <c r="I171" s="0" t="s">
        <v>20</v>
      </c>
      <c r="J171" s="0" t="n">
        <f aca="false">IF(I171=" ALARM",1,0)</f>
        <v>1</v>
      </c>
      <c r="K171" s="0" t="s">
        <v>20</v>
      </c>
      <c r="L171" s="0" t="n">
        <f aca="false">IF(K171=" ALARM",1,0)</f>
        <v>1</v>
      </c>
      <c r="M171" s="0" t="s">
        <v>30</v>
      </c>
      <c r="N171" s="0" t="n">
        <f aca="false">IF(M171=" ALARM",1,0)</f>
        <v>0</v>
      </c>
      <c r="O171" s="0" t="s">
        <v>539</v>
      </c>
      <c r="P171" s="0" t="s">
        <v>540</v>
      </c>
    </row>
    <row r="172" customFormat="false" ht="12.8" hidden="true" customHeight="false" outlineLevel="0" collapsed="false">
      <c r="A172" s="0" t="n">
        <v>147273</v>
      </c>
      <c r="B172" s="0" t="s">
        <v>541</v>
      </c>
      <c r="E172" s="0" t="s">
        <v>17</v>
      </c>
      <c r="F172" s="0" t="s">
        <v>35</v>
      </c>
      <c r="G172" s="0" t="n">
        <v>733</v>
      </c>
      <c r="H172" s="0" t="s">
        <v>52</v>
      </c>
      <c r="I172" s="0" t="s">
        <v>20</v>
      </c>
      <c r="J172" s="0" t="n">
        <f aca="false">IF(I172=" ALARM",1,0)</f>
        <v>1</v>
      </c>
      <c r="K172" s="0" t="s">
        <v>20</v>
      </c>
      <c r="L172" s="0" t="n">
        <f aca="false">IF(K172=" ALARM",1,0)</f>
        <v>1</v>
      </c>
      <c r="M172" s="0" t="s">
        <v>20</v>
      </c>
      <c r="N172" s="0" t="n">
        <f aca="false">IF(M172=" ALARM",1,0)</f>
        <v>1</v>
      </c>
      <c r="O172" s="0" t="s">
        <v>542</v>
      </c>
      <c r="P172" s="0" t="s">
        <v>543</v>
      </c>
    </row>
    <row r="173" customFormat="false" ht="12.8" hidden="true" customHeight="false" outlineLevel="0" collapsed="false">
      <c r="A173" s="0" t="n">
        <v>101327</v>
      </c>
      <c r="B173" s="0" t="s">
        <v>544</v>
      </c>
      <c r="E173" s="0" t="s">
        <v>17</v>
      </c>
      <c r="F173" s="0" t="s">
        <v>18</v>
      </c>
      <c r="G173" s="0" t="n">
        <v>741</v>
      </c>
      <c r="H173" s="0" t="s">
        <v>52</v>
      </c>
      <c r="I173" s="0" t="s">
        <v>21</v>
      </c>
      <c r="J173" s="0" t="n">
        <f aca="false">IF(I173=" ALARM",1,0)</f>
        <v>0</v>
      </c>
      <c r="K173" s="0" t="s">
        <v>20</v>
      </c>
      <c r="L173" s="0" t="n">
        <f aca="false">IF(K173=" ALARM",1,0)</f>
        <v>1</v>
      </c>
      <c r="M173" s="0" t="s">
        <v>20</v>
      </c>
      <c r="N173" s="0" t="n">
        <f aca="false">IF(M173=" ALARM",1,0)</f>
        <v>1</v>
      </c>
      <c r="O173" s="0" t="s">
        <v>69</v>
      </c>
      <c r="P173" s="0" t="s">
        <v>545</v>
      </c>
      <c r="Q173" s="0" t="s">
        <v>546</v>
      </c>
    </row>
    <row r="174" customFormat="false" ht="12.8" hidden="true" customHeight="false" outlineLevel="0" collapsed="false">
      <c r="A174" s="0" t="n">
        <v>147728</v>
      </c>
      <c r="B174" s="0" t="s">
        <v>547</v>
      </c>
      <c r="E174" s="0" t="s">
        <v>17</v>
      </c>
      <c r="F174" s="0" t="s">
        <v>18</v>
      </c>
      <c r="G174" s="0" t="n">
        <v>39</v>
      </c>
      <c r="H174" s="0" t="s">
        <v>490</v>
      </c>
      <c r="I174" s="0" t="s">
        <v>20</v>
      </c>
      <c r="J174" s="0" t="n">
        <f aca="false">IF(I174=" ALARM",1,0)</f>
        <v>1</v>
      </c>
      <c r="K174" s="0" t="s">
        <v>20</v>
      </c>
      <c r="L174" s="0" t="n">
        <f aca="false">IF(K174=" ALARM",1,0)</f>
        <v>1</v>
      </c>
      <c r="M174" s="0" t="s">
        <v>21</v>
      </c>
      <c r="N174" s="0" t="n">
        <f aca="false">IF(M174=" ALARM",1,0)</f>
        <v>0</v>
      </c>
      <c r="O174" s="0" t="s">
        <v>548</v>
      </c>
      <c r="P174" s="0" t="s">
        <v>549</v>
      </c>
      <c r="Q174" s="0" t="s">
        <v>550</v>
      </c>
    </row>
    <row r="175" customFormat="false" ht="12.8" hidden="true" customHeight="false" outlineLevel="0" collapsed="false">
      <c r="A175" s="0" t="n">
        <v>148954</v>
      </c>
      <c r="B175" s="0" t="s">
        <v>551</v>
      </c>
      <c r="E175" s="0" t="s">
        <v>17</v>
      </c>
      <c r="F175" s="0" t="s">
        <v>18</v>
      </c>
      <c r="G175" s="0" t="n">
        <v>39</v>
      </c>
      <c r="H175" s="0" t="s">
        <v>490</v>
      </c>
      <c r="I175" s="0" t="s">
        <v>20</v>
      </c>
      <c r="J175" s="0" t="n">
        <f aca="false">IF(I175=" ALARM",1,0)</f>
        <v>1</v>
      </c>
      <c r="K175" s="0" t="s">
        <v>20</v>
      </c>
      <c r="L175" s="0" t="n">
        <f aca="false">IF(K175=" ALARM",1,0)</f>
        <v>1</v>
      </c>
      <c r="M175" s="0" t="s">
        <v>30</v>
      </c>
      <c r="N175" s="0" t="n">
        <f aca="false">IF(M175=" ALARM",1,0)</f>
        <v>0</v>
      </c>
      <c r="O175" s="0" t="s">
        <v>552</v>
      </c>
      <c r="P175" s="0" t="s">
        <v>553</v>
      </c>
      <c r="Q175" s="0" t="s">
        <v>554</v>
      </c>
    </row>
    <row r="176" customFormat="false" ht="12.8" hidden="true" customHeight="false" outlineLevel="0" collapsed="false">
      <c r="A176" s="0" t="n">
        <v>150197</v>
      </c>
      <c r="B176" s="0" t="s">
        <v>555</v>
      </c>
      <c r="E176" s="0" t="s">
        <v>17</v>
      </c>
      <c r="F176" s="0" t="s">
        <v>35</v>
      </c>
      <c r="G176" s="0" t="n">
        <v>39</v>
      </c>
      <c r="H176" s="0" t="s">
        <v>490</v>
      </c>
      <c r="I176" s="0" t="s">
        <v>20</v>
      </c>
      <c r="J176" s="0" t="n">
        <f aca="false">IF(I176=" ALARM",1,0)</f>
        <v>1</v>
      </c>
      <c r="K176" s="0" t="s">
        <v>20</v>
      </c>
      <c r="L176" s="0" t="n">
        <f aca="false">IF(K176=" ALARM",1,0)</f>
        <v>1</v>
      </c>
      <c r="M176" s="0" t="s">
        <v>21</v>
      </c>
      <c r="N176" s="0" t="n">
        <f aca="false">IF(M176=" ALARM",1,0)</f>
        <v>0</v>
      </c>
      <c r="O176" s="0" t="s">
        <v>556</v>
      </c>
      <c r="P176" s="0" t="s">
        <v>557</v>
      </c>
      <c r="Q176" s="0" t="s">
        <v>558</v>
      </c>
    </row>
    <row r="177" customFormat="false" ht="12.8" hidden="true" customHeight="false" outlineLevel="0" collapsed="false">
      <c r="A177" s="0" t="n">
        <v>148673</v>
      </c>
      <c r="B177" s="0" t="s">
        <v>559</v>
      </c>
      <c r="E177" s="0" t="s">
        <v>17</v>
      </c>
      <c r="F177" s="0" t="s">
        <v>18</v>
      </c>
      <c r="G177" s="0" t="n">
        <v>487</v>
      </c>
      <c r="H177" s="0" t="s">
        <v>52</v>
      </c>
      <c r="I177" s="0" t="s">
        <v>21</v>
      </c>
      <c r="J177" s="0" t="n">
        <f aca="false">IF(I177=" ALARM",1,0)</f>
        <v>0</v>
      </c>
      <c r="K177" s="0" t="s">
        <v>21</v>
      </c>
      <c r="L177" s="0" t="n">
        <f aca="false">IF(K177=" ALARM",1,0)</f>
        <v>0</v>
      </c>
      <c r="M177" s="0" t="s">
        <v>21</v>
      </c>
      <c r="N177" s="0" t="n">
        <f aca="false">IF(M177=" ALARM",1,0)</f>
        <v>0</v>
      </c>
      <c r="O177" s="0" t="s">
        <v>560</v>
      </c>
      <c r="P177" s="0" t="s">
        <v>560</v>
      </c>
      <c r="Q177" s="0" t="s">
        <v>561</v>
      </c>
    </row>
    <row r="178" customFormat="false" ht="12.8" hidden="true" customHeight="false" outlineLevel="0" collapsed="false">
      <c r="A178" s="0" t="n">
        <v>149294</v>
      </c>
      <c r="B178" s="0" t="s">
        <v>562</v>
      </c>
      <c r="E178" s="0" t="s">
        <v>17</v>
      </c>
      <c r="F178" s="0" t="s">
        <v>35</v>
      </c>
      <c r="G178" s="0" t="n">
        <v>733</v>
      </c>
      <c r="H178" s="0" t="s">
        <v>52</v>
      </c>
      <c r="I178" s="0" t="s">
        <v>20</v>
      </c>
      <c r="J178" s="0" t="n">
        <f aca="false">IF(I178=" ALARM",1,0)</f>
        <v>1</v>
      </c>
      <c r="K178" s="0" t="s">
        <v>20</v>
      </c>
      <c r="L178" s="0" t="n">
        <f aca="false">IF(K178=" ALARM",1,0)</f>
        <v>1</v>
      </c>
      <c r="M178" s="0" t="s">
        <v>20</v>
      </c>
      <c r="N178" s="0" t="n">
        <f aca="false">IF(M178=" ALARM",1,0)</f>
        <v>1</v>
      </c>
      <c r="O178" s="0" t="s">
        <v>563</v>
      </c>
      <c r="P178" s="0" t="s">
        <v>564</v>
      </c>
    </row>
    <row r="179" customFormat="false" ht="12.8" hidden="true" customHeight="false" outlineLevel="0" collapsed="false">
      <c r="A179" s="0" t="n">
        <v>150627</v>
      </c>
      <c r="B179" s="0" t="s">
        <v>565</v>
      </c>
      <c r="E179" s="0" t="s">
        <v>17</v>
      </c>
      <c r="F179" s="0" t="s">
        <v>18</v>
      </c>
      <c r="G179" s="0" t="n">
        <v>39</v>
      </c>
      <c r="H179" s="0" t="s">
        <v>490</v>
      </c>
      <c r="I179" s="0" t="s">
        <v>20</v>
      </c>
      <c r="J179" s="0" t="n">
        <f aca="false">IF(I179=" ALARM",1,0)</f>
        <v>1</v>
      </c>
      <c r="K179" s="0" t="s">
        <v>20</v>
      </c>
      <c r="L179" s="0" t="n">
        <f aca="false">IF(K179=" ALARM",1,0)</f>
        <v>1</v>
      </c>
      <c r="M179" s="0" t="s">
        <v>21</v>
      </c>
      <c r="N179" s="0" t="n">
        <f aca="false">IF(M179=" ALARM",1,0)</f>
        <v>0</v>
      </c>
      <c r="O179" s="0" t="s">
        <v>566</v>
      </c>
      <c r="P179" s="0" t="s">
        <v>567</v>
      </c>
      <c r="Q179" s="0" t="s">
        <v>568</v>
      </c>
    </row>
    <row r="180" customFormat="false" ht="12.8" hidden="true" customHeight="false" outlineLevel="0" collapsed="false">
      <c r="A180" s="0" t="n">
        <v>151658</v>
      </c>
      <c r="B180" s="0" t="s">
        <v>569</v>
      </c>
      <c r="E180" s="0" t="s">
        <v>17</v>
      </c>
      <c r="F180" s="0" t="s">
        <v>18</v>
      </c>
      <c r="G180" s="0" t="n">
        <v>39</v>
      </c>
      <c r="H180" s="0" t="s">
        <v>490</v>
      </c>
      <c r="I180" s="0" t="s">
        <v>20</v>
      </c>
      <c r="J180" s="0" t="n">
        <f aca="false">IF(I180=" ALARM",1,0)</f>
        <v>1</v>
      </c>
      <c r="K180" s="0" t="s">
        <v>20</v>
      </c>
      <c r="L180" s="0" t="n">
        <f aca="false">IF(K180=" ALARM",1,0)</f>
        <v>1</v>
      </c>
      <c r="M180" s="0" t="s">
        <v>20</v>
      </c>
      <c r="N180" s="0" t="n">
        <f aca="false">IF(M180=" ALARM",1,0)</f>
        <v>1</v>
      </c>
      <c r="O180" s="0" t="s">
        <v>570</v>
      </c>
      <c r="P180" s="0" t="s">
        <v>571</v>
      </c>
      <c r="Q180" s="0" t="s">
        <v>476</v>
      </c>
    </row>
    <row r="181" customFormat="false" ht="12.8" hidden="true" customHeight="false" outlineLevel="0" collapsed="false">
      <c r="A181" s="0" t="n">
        <v>162815</v>
      </c>
      <c r="B181" s="0" t="s">
        <v>572</v>
      </c>
      <c r="E181" s="0" t="s">
        <v>17</v>
      </c>
      <c r="F181" s="0" t="s">
        <v>18</v>
      </c>
      <c r="G181" s="0" t="n">
        <v>39</v>
      </c>
      <c r="H181" s="0" t="s">
        <v>490</v>
      </c>
      <c r="I181" s="0" t="s">
        <v>20</v>
      </c>
      <c r="J181" s="0" t="n">
        <f aca="false">IF(I181=" ALARM",1,0)</f>
        <v>1</v>
      </c>
      <c r="K181" s="0" t="s">
        <v>20</v>
      </c>
      <c r="L181" s="0" t="n">
        <f aca="false">IF(K181=" ALARM",1,0)</f>
        <v>1</v>
      </c>
      <c r="M181" s="0" t="s">
        <v>20</v>
      </c>
      <c r="N181" s="0" t="n">
        <f aca="false">IF(M181=" ALARM",1,0)</f>
        <v>1</v>
      </c>
      <c r="O181" s="0" t="s">
        <v>573</v>
      </c>
      <c r="P181" s="0" t="s">
        <v>574</v>
      </c>
      <c r="Q181" s="0" t="s">
        <v>575</v>
      </c>
    </row>
    <row r="182" customFormat="false" ht="12.8" hidden="true" customHeight="false" outlineLevel="0" collapsed="false">
      <c r="A182" s="0" t="n">
        <v>161625</v>
      </c>
      <c r="B182" s="0" t="s">
        <v>576</v>
      </c>
      <c r="E182" s="0" t="s">
        <v>17</v>
      </c>
      <c r="F182" s="0" t="s">
        <v>35</v>
      </c>
      <c r="G182" s="0" t="n">
        <v>733</v>
      </c>
      <c r="H182" s="0" t="s">
        <v>52</v>
      </c>
      <c r="I182" s="0" t="s">
        <v>20</v>
      </c>
      <c r="J182" s="0" t="n">
        <f aca="false">IF(I182=" ALARM",1,0)</f>
        <v>1</v>
      </c>
      <c r="K182" s="0" t="s">
        <v>20</v>
      </c>
      <c r="L182" s="0" t="n">
        <f aca="false">IF(K182=" ALARM",1,0)</f>
        <v>1</v>
      </c>
      <c r="M182" s="0" t="s">
        <v>20</v>
      </c>
      <c r="N182" s="0" t="n">
        <f aca="false">IF(M182=" ALARM",1,0)</f>
        <v>1</v>
      </c>
      <c r="O182" s="0" t="s">
        <v>577</v>
      </c>
      <c r="P182" s="0" t="s">
        <v>578</v>
      </c>
    </row>
    <row r="183" customFormat="false" ht="12.8" hidden="true" customHeight="false" outlineLevel="0" collapsed="false">
      <c r="A183" s="0" t="n">
        <v>162647</v>
      </c>
      <c r="B183" s="0" t="s">
        <v>579</v>
      </c>
      <c r="E183" s="0" t="s">
        <v>17</v>
      </c>
      <c r="F183" s="0" t="s">
        <v>35</v>
      </c>
      <c r="G183" s="0" t="n">
        <v>733</v>
      </c>
      <c r="H183" s="0" t="s">
        <v>52</v>
      </c>
      <c r="I183" s="0" t="s">
        <v>20</v>
      </c>
      <c r="J183" s="0" t="n">
        <f aca="false">IF(I183=" ALARM",1,0)</f>
        <v>1</v>
      </c>
      <c r="K183" s="0" t="s">
        <v>20</v>
      </c>
      <c r="L183" s="0" t="n">
        <f aca="false">IF(K183=" ALARM",1,0)</f>
        <v>1</v>
      </c>
      <c r="M183" s="0" t="s">
        <v>30</v>
      </c>
      <c r="N183" s="0" t="n">
        <f aca="false">IF(M183=" ALARM",1,0)</f>
        <v>0</v>
      </c>
      <c r="O183" s="0" t="s">
        <v>580</v>
      </c>
      <c r="P183" s="0" t="s">
        <v>581</v>
      </c>
      <c r="Q183" s="0" t="s">
        <v>582</v>
      </c>
    </row>
    <row r="184" customFormat="false" ht="12.8" hidden="true" customHeight="false" outlineLevel="0" collapsed="false">
      <c r="A184" s="0" t="n">
        <v>162713</v>
      </c>
      <c r="B184" s="0" t="s">
        <v>583</v>
      </c>
      <c r="E184" s="0" t="s">
        <v>17</v>
      </c>
      <c r="F184" s="0" t="s">
        <v>35</v>
      </c>
      <c r="G184" s="0" t="n">
        <v>733</v>
      </c>
      <c r="H184" s="0" t="s">
        <v>52</v>
      </c>
      <c r="I184" s="0" t="s">
        <v>20</v>
      </c>
      <c r="J184" s="0" t="n">
        <f aca="false">IF(I184=" ALARM",1,0)</f>
        <v>1</v>
      </c>
      <c r="K184" s="0" t="s">
        <v>20</v>
      </c>
      <c r="L184" s="0" t="n">
        <f aca="false">IF(K184=" ALARM",1,0)</f>
        <v>1</v>
      </c>
      <c r="M184" s="0" t="s">
        <v>30</v>
      </c>
      <c r="N184" s="0" t="n">
        <f aca="false">IF(M184=" ALARM",1,0)</f>
        <v>0</v>
      </c>
      <c r="O184" s="0" t="s">
        <v>584</v>
      </c>
      <c r="P184" s="0" t="s">
        <v>585</v>
      </c>
    </row>
    <row r="185" customFormat="false" ht="12.8" hidden="true" customHeight="false" outlineLevel="0" collapsed="false">
      <c r="A185" s="0" t="n">
        <v>162755</v>
      </c>
      <c r="B185" s="0" t="s">
        <v>586</v>
      </c>
      <c r="E185" s="0" t="s">
        <v>17</v>
      </c>
      <c r="F185" s="0" t="s">
        <v>35</v>
      </c>
      <c r="G185" s="0" t="n">
        <v>733</v>
      </c>
      <c r="H185" s="0" t="s">
        <v>52</v>
      </c>
      <c r="I185" s="0" t="s">
        <v>20</v>
      </c>
      <c r="J185" s="0" t="n">
        <f aca="false">IF(I185=" ALARM",1,0)</f>
        <v>1</v>
      </c>
      <c r="K185" s="0" t="s">
        <v>20</v>
      </c>
      <c r="L185" s="0" t="n">
        <f aca="false">IF(K185=" ALARM",1,0)</f>
        <v>1</v>
      </c>
      <c r="M185" s="0" t="s">
        <v>20</v>
      </c>
      <c r="N185" s="0" t="n">
        <f aca="false">IF(M185=" ALARM",1,0)</f>
        <v>1</v>
      </c>
      <c r="O185" s="0" t="s">
        <v>587</v>
      </c>
      <c r="P185" s="0" t="s">
        <v>588</v>
      </c>
    </row>
    <row r="186" customFormat="false" ht="12.8" hidden="true" customHeight="false" outlineLevel="0" collapsed="false">
      <c r="A186" s="0" t="n">
        <v>162803</v>
      </c>
      <c r="B186" s="0" t="s">
        <v>589</v>
      </c>
      <c r="E186" s="0" t="s">
        <v>17</v>
      </c>
      <c r="F186" s="0" t="s">
        <v>35</v>
      </c>
      <c r="G186" s="0" t="n">
        <v>733</v>
      </c>
      <c r="H186" s="0" t="s">
        <v>52</v>
      </c>
      <c r="I186" s="0" t="s">
        <v>20</v>
      </c>
      <c r="J186" s="0" t="n">
        <f aca="false">IF(I186=" ALARM",1,0)</f>
        <v>1</v>
      </c>
      <c r="K186" s="0" t="s">
        <v>20</v>
      </c>
      <c r="L186" s="0" t="n">
        <f aca="false">IF(K186=" ALARM",1,0)</f>
        <v>1</v>
      </c>
      <c r="M186" s="0" t="s">
        <v>20</v>
      </c>
      <c r="N186" s="0" t="n">
        <f aca="false">IF(M186=" ALARM",1,0)</f>
        <v>1</v>
      </c>
      <c r="O186" s="0" t="s">
        <v>590</v>
      </c>
      <c r="P186" s="0" t="s">
        <v>591</v>
      </c>
    </row>
    <row r="187" customFormat="false" ht="12.8" hidden="true" customHeight="false" outlineLevel="0" collapsed="false">
      <c r="A187" s="0" t="n">
        <v>180524</v>
      </c>
      <c r="B187" s="0" t="s">
        <v>592</v>
      </c>
      <c r="E187" s="0" t="s">
        <v>17</v>
      </c>
      <c r="F187" s="0" t="s">
        <v>18</v>
      </c>
      <c r="G187" s="0" t="n">
        <v>39</v>
      </c>
      <c r="H187" s="0" t="s">
        <v>490</v>
      </c>
      <c r="I187" s="0" t="s">
        <v>20</v>
      </c>
      <c r="J187" s="0" t="n">
        <f aca="false">IF(I187=" ALARM",1,0)</f>
        <v>1</v>
      </c>
      <c r="K187" s="0" t="s">
        <v>20</v>
      </c>
      <c r="L187" s="0" t="n">
        <f aca="false">IF(K187=" ALARM",1,0)</f>
        <v>1</v>
      </c>
      <c r="M187" s="0" t="s">
        <v>20</v>
      </c>
      <c r="N187" s="0" t="n">
        <f aca="false">IF(M187=" ALARM",1,0)</f>
        <v>1</v>
      </c>
      <c r="O187" s="0" t="s">
        <v>593</v>
      </c>
      <c r="P187" s="0" t="s">
        <v>594</v>
      </c>
      <c r="Q187" s="0" t="s">
        <v>595</v>
      </c>
    </row>
    <row r="188" customFormat="false" ht="12.8" hidden="true" customHeight="false" outlineLevel="0" collapsed="false">
      <c r="A188" s="0" t="n">
        <v>180532</v>
      </c>
      <c r="B188" s="0" t="s">
        <v>596</v>
      </c>
      <c r="E188" s="0" t="s">
        <v>17</v>
      </c>
      <c r="F188" s="0" t="s">
        <v>18</v>
      </c>
      <c r="G188" s="0" t="n">
        <v>39</v>
      </c>
      <c r="H188" s="0" t="s">
        <v>490</v>
      </c>
      <c r="I188" s="0" t="s">
        <v>20</v>
      </c>
      <c r="J188" s="0" t="n">
        <f aca="false">IF(I188=" ALARM",1,0)</f>
        <v>1</v>
      </c>
      <c r="K188" s="0" t="s">
        <v>20</v>
      </c>
      <c r="L188" s="0" t="n">
        <f aca="false">IF(K188=" ALARM",1,0)</f>
        <v>1</v>
      </c>
      <c r="M188" s="0" t="s">
        <v>21</v>
      </c>
      <c r="N188" s="0" t="n">
        <f aca="false">IF(M188=" ALARM",1,0)</f>
        <v>0</v>
      </c>
      <c r="O188" s="0" t="s">
        <v>597</v>
      </c>
      <c r="P188" s="0" t="s">
        <v>598</v>
      </c>
      <c r="Q188" s="0" t="s">
        <v>599</v>
      </c>
    </row>
    <row r="189" customFormat="false" ht="12.8" hidden="true" customHeight="false" outlineLevel="0" collapsed="false">
      <c r="A189" s="0" t="n">
        <v>239751</v>
      </c>
      <c r="B189" s="0" t="s">
        <v>600</v>
      </c>
      <c r="E189" s="0" t="s">
        <v>17</v>
      </c>
      <c r="F189" s="0" t="s">
        <v>35</v>
      </c>
      <c r="G189" s="0" t="n">
        <v>39</v>
      </c>
      <c r="H189" s="0" t="s">
        <v>490</v>
      </c>
      <c r="I189" s="0" t="s">
        <v>20</v>
      </c>
      <c r="J189" s="0" t="n">
        <f aca="false">IF(I189=" ALARM",1,0)</f>
        <v>1</v>
      </c>
      <c r="K189" s="0" t="s">
        <v>20</v>
      </c>
      <c r="L189" s="0" t="n">
        <f aca="false">IF(K189=" ALARM",1,0)</f>
        <v>1</v>
      </c>
      <c r="M189" s="0" t="s">
        <v>30</v>
      </c>
      <c r="N189" s="0" t="n">
        <f aca="false">IF(M189=" ALARM",1,0)</f>
        <v>0</v>
      </c>
      <c r="O189" s="0" t="s">
        <v>601</v>
      </c>
      <c r="P189" s="0" t="s">
        <v>602</v>
      </c>
      <c r="Q189" s="0" t="s">
        <v>603</v>
      </c>
    </row>
    <row r="190" customFormat="false" ht="12.8" hidden="true" customHeight="false" outlineLevel="0" collapsed="false">
      <c r="A190" s="0" t="n">
        <v>239696</v>
      </c>
      <c r="B190" s="0" t="s">
        <v>604</v>
      </c>
      <c r="E190" s="0" t="s">
        <v>17</v>
      </c>
      <c r="F190" s="0" t="s">
        <v>18</v>
      </c>
      <c r="G190" s="0" t="n">
        <v>39</v>
      </c>
      <c r="H190" s="0" t="s">
        <v>490</v>
      </c>
      <c r="I190" s="0" t="s">
        <v>20</v>
      </c>
      <c r="J190" s="0" t="n">
        <f aca="false">IF(I190=" ALARM",1,0)</f>
        <v>1</v>
      </c>
      <c r="K190" s="0" t="s">
        <v>20</v>
      </c>
      <c r="L190" s="0" t="n">
        <f aca="false">IF(K190=" ALARM",1,0)</f>
        <v>1</v>
      </c>
      <c r="M190" s="0" t="s">
        <v>20</v>
      </c>
      <c r="N190" s="0" t="n">
        <f aca="false">IF(M190=" ALARM",1,0)</f>
        <v>1</v>
      </c>
      <c r="O190" s="0" t="s">
        <v>605</v>
      </c>
      <c r="P190" s="0" t="s">
        <v>606</v>
      </c>
      <c r="Q190" s="0" t="s">
        <v>607</v>
      </c>
    </row>
    <row r="191" customFormat="false" ht="12.8" hidden="true" customHeight="false" outlineLevel="0" collapsed="false">
      <c r="A191" s="0" t="n">
        <v>268590</v>
      </c>
      <c r="B191" s="0" t="s">
        <v>608</v>
      </c>
      <c r="E191" s="0" t="s">
        <v>17</v>
      </c>
      <c r="F191" s="0" t="s">
        <v>18</v>
      </c>
      <c r="G191" s="0" t="n">
        <v>39</v>
      </c>
      <c r="H191" s="0" t="s">
        <v>490</v>
      </c>
      <c r="I191" s="0" t="s">
        <v>20</v>
      </c>
      <c r="J191" s="0" t="n">
        <f aca="false">IF(I191=" ALARM",1,0)</f>
        <v>1</v>
      </c>
      <c r="K191" s="0" t="s">
        <v>20</v>
      </c>
      <c r="L191" s="0" t="n">
        <f aca="false">IF(K191=" ALARM",1,0)</f>
        <v>1</v>
      </c>
      <c r="M191" s="0" t="s">
        <v>20</v>
      </c>
      <c r="N191" s="0" t="n">
        <f aca="false">IF(M191=" ALARM",1,0)</f>
        <v>1</v>
      </c>
      <c r="O191" s="0" t="s">
        <v>609</v>
      </c>
      <c r="P191" s="0" t="s">
        <v>610</v>
      </c>
      <c r="Q191" s="0" t="s">
        <v>476</v>
      </c>
    </row>
    <row r="192" customFormat="false" ht="12.8" hidden="true" customHeight="false" outlineLevel="0" collapsed="false">
      <c r="A192" s="0" t="n">
        <v>291279</v>
      </c>
      <c r="B192" s="0" t="s">
        <v>611</v>
      </c>
      <c r="E192" s="0" t="s">
        <v>17</v>
      </c>
      <c r="F192" s="0" t="s">
        <v>35</v>
      </c>
      <c r="G192" s="0" t="n">
        <v>39</v>
      </c>
      <c r="H192" s="0" t="s">
        <v>490</v>
      </c>
      <c r="I192" s="0" t="s">
        <v>20</v>
      </c>
      <c r="J192" s="0" t="n">
        <f aca="false">IF(I192=" ALARM",1,0)</f>
        <v>1</v>
      </c>
      <c r="K192" s="0" t="s">
        <v>20</v>
      </c>
      <c r="L192" s="0" t="n">
        <f aca="false">IF(K192=" ALARM",1,0)</f>
        <v>1</v>
      </c>
      <c r="M192" s="0" t="s">
        <v>20</v>
      </c>
      <c r="N192" s="0" t="n">
        <f aca="false">IF(M192=" ALARM",1,0)</f>
        <v>1</v>
      </c>
      <c r="O192" s="0" t="s">
        <v>612</v>
      </c>
      <c r="P192" s="0" t="s">
        <v>613</v>
      </c>
      <c r="Q192" s="0" t="s">
        <v>614</v>
      </c>
    </row>
    <row r="193" customFormat="false" ht="12.8" hidden="true" customHeight="false" outlineLevel="0" collapsed="false">
      <c r="A193" s="0" t="n">
        <v>292012</v>
      </c>
      <c r="B193" s="0" t="s">
        <v>615</v>
      </c>
      <c r="E193" s="0" t="s">
        <v>17</v>
      </c>
      <c r="F193" s="0" t="s">
        <v>18</v>
      </c>
      <c r="G193" s="0" t="n">
        <v>39</v>
      </c>
      <c r="H193" s="0" t="s">
        <v>490</v>
      </c>
      <c r="I193" s="0" t="s">
        <v>20</v>
      </c>
      <c r="J193" s="0" t="n">
        <f aca="false">IF(I193=" ALARM",1,0)</f>
        <v>1</v>
      </c>
      <c r="K193" s="0" t="s">
        <v>20</v>
      </c>
      <c r="L193" s="0" t="n">
        <f aca="false">IF(K193=" ALARM",1,0)</f>
        <v>1</v>
      </c>
      <c r="M193" s="0" t="s">
        <v>20</v>
      </c>
      <c r="N193" s="0" t="n">
        <f aca="false">IF(M193=" ALARM",1,0)</f>
        <v>1</v>
      </c>
      <c r="O193" s="0" t="s">
        <v>573</v>
      </c>
      <c r="P193" s="0" t="s">
        <v>616</v>
      </c>
      <c r="Q193" s="0" t="s">
        <v>617</v>
      </c>
    </row>
    <row r="194" customFormat="false" ht="12.8" hidden="true" customHeight="false" outlineLevel="0" collapsed="false">
      <c r="A194" s="0" t="n">
        <v>308998</v>
      </c>
      <c r="B194" s="0" t="s">
        <v>618</v>
      </c>
      <c r="E194" s="0" t="s">
        <v>17</v>
      </c>
      <c r="F194" s="0" t="s">
        <v>18</v>
      </c>
      <c r="G194" s="0" t="n">
        <v>39</v>
      </c>
      <c r="H194" s="0" t="s">
        <v>490</v>
      </c>
      <c r="I194" s="0" t="s">
        <v>20</v>
      </c>
      <c r="J194" s="0" t="n">
        <f aca="false">IF(I194=" ALARM",1,0)</f>
        <v>1</v>
      </c>
      <c r="K194" s="0" t="s">
        <v>20</v>
      </c>
      <c r="L194" s="0" t="n">
        <f aca="false">IF(K194=" ALARM",1,0)</f>
        <v>1</v>
      </c>
      <c r="M194" s="0" t="s">
        <v>20</v>
      </c>
      <c r="N194" s="0" t="n">
        <f aca="false">IF(M194=" ALARM",1,0)</f>
        <v>1</v>
      </c>
      <c r="O194" s="0" t="s">
        <v>619</v>
      </c>
      <c r="P194" s="0" t="s">
        <v>620</v>
      </c>
      <c r="Q194" s="0" t="s">
        <v>621</v>
      </c>
    </row>
    <row r="195" customFormat="false" ht="12.8" hidden="true" customHeight="false" outlineLevel="0" collapsed="false">
      <c r="A195" s="0" t="n">
        <v>309366</v>
      </c>
      <c r="B195" s="0" t="s">
        <v>622</v>
      </c>
      <c r="E195" s="0" t="s">
        <v>17</v>
      </c>
      <c r="F195" s="0" t="s">
        <v>35</v>
      </c>
      <c r="G195" s="0" t="n">
        <v>39</v>
      </c>
      <c r="H195" s="0" t="s">
        <v>490</v>
      </c>
      <c r="I195" s="0" t="s">
        <v>20</v>
      </c>
      <c r="J195" s="0" t="n">
        <f aca="false">IF(I195=" ALARM",1,0)</f>
        <v>1</v>
      </c>
      <c r="K195" s="0" t="s">
        <v>20</v>
      </c>
      <c r="L195" s="0" t="n">
        <f aca="false">IF(K195=" ALARM",1,0)</f>
        <v>1</v>
      </c>
      <c r="M195" s="0" t="s">
        <v>20</v>
      </c>
      <c r="N195" s="0" t="n">
        <f aca="false">IF(M195=" ALARM",1,0)</f>
        <v>1</v>
      </c>
      <c r="O195" s="0" t="s">
        <v>623</v>
      </c>
      <c r="P195" s="0" t="s">
        <v>624</v>
      </c>
      <c r="Q195" s="0" t="s">
        <v>625</v>
      </c>
    </row>
    <row r="196" customFormat="false" ht="12.8" hidden="true" customHeight="false" outlineLevel="0" collapsed="false">
      <c r="A196" s="0" t="n">
        <v>311676</v>
      </c>
      <c r="B196" s="0" t="s">
        <v>626</v>
      </c>
      <c r="E196" s="0" t="s">
        <v>17</v>
      </c>
      <c r="F196" s="0" t="s">
        <v>35</v>
      </c>
      <c r="G196" s="0" t="n">
        <v>39</v>
      </c>
      <c r="H196" s="0" t="s">
        <v>490</v>
      </c>
      <c r="I196" s="0" t="s">
        <v>20</v>
      </c>
      <c r="J196" s="0" t="n">
        <f aca="false">IF(I196=" ALARM",1,0)</f>
        <v>1</v>
      </c>
      <c r="K196" s="0" t="s">
        <v>20</v>
      </c>
      <c r="L196" s="0" t="n">
        <f aca="false">IF(K196=" ALARM",1,0)</f>
        <v>1</v>
      </c>
      <c r="M196" s="0" t="s">
        <v>20</v>
      </c>
      <c r="N196" s="0" t="n">
        <f aca="false">IF(M196=" ALARM",1,0)</f>
        <v>1</v>
      </c>
      <c r="O196" s="0" t="s">
        <v>627</v>
      </c>
      <c r="P196" s="0" t="s">
        <v>628</v>
      </c>
      <c r="Q196" s="0" t="s">
        <v>629</v>
      </c>
    </row>
    <row r="197" customFormat="false" ht="12.8" hidden="true" customHeight="false" outlineLevel="0" collapsed="false">
      <c r="A197" s="0" t="n">
        <v>315506</v>
      </c>
      <c r="B197" s="0" t="s">
        <v>630</v>
      </c>
      <c r="E197" s="0" t="s">
        <v>17</v>
      </c>
      <c r="F197" s="0" t="s">
        <v>35</v>
      </c>
      <c r="G197" s="0" t="n">
        <v>733</v>
      </c>
      <c r="H197" s="0" t="s">
        <v>52</v>
      </c>
      <c r="I197" s="0" t="s">
        <v>21</v>
      </c>
      <c r="J197" s="0" t="n">
        <f aca="false">IF(I197=" ALARM",1,0)</f>
        <v>0</v>
      </c>
      <c r="K197" s="0" t="s">
        <v>20</v>
      </c>
      <c r="L197" s="0" t="n">
        <f aca="false">IF(K197=" ALARM",1,0)</f>
        <v>1</v>
      </c>
      <c r="M197" s="0" t="s">
        <v>20</v>
      </c>
      <c r="N197" s="0" t="n">
        <f aca="false">IF(M197=" ALARM",1,0)</f>
        <v>1</v>
      </c>
      <c r="O197" s="0" t="s">
        <v>440</v>
      </c>
      <c r="P197" s="0" t="s">
        <v>631</v>
      </c>
    </row>
    <row r="198" customFormat="false" ht="12.8" hidden="true" customHeight="false" outlineLevel="0" collapsed="false">
      <c r="A198" s="0" t="n">
        <v>315513</v>
      </c>
      <c r="B198" s="0" t="s">
        <v>632</v>
      </c>
      <c r="E198" s="0" t="s">
        <v>17</v>
      </c>
      <c r="F198" s="0" t="s">
        <v>35</v>
      </c>
      <c r="G198" s="0" t="n">
        <v>733</v>
      </c>
      <c r="H198" s="0" t="s">
        <v>52</v>
      </c>
      <c r="I198" s="0" t="s">
        <v>21</v>
      </c>
      <c r="J198" s="0" t="n">
        <f aca="false">IF(I198=" ALARM",1,0)</f>
        <v>0</v>
      </c>
      <c r="K198" s="0" t="s">
        <v>21</v>
      </c>
      <c r="L198" s="0" t="n">
        <f aca="false">IF(K198=" ALARM",1,0)</f>
        <v>0</v>
      </c>
      <c r="M198" s="0" t="s">
        <v>20</v>
      </c>
      <c r="N198" s="0" t="n">
        <f aca="false">IF(M198=" ALARM",1,0)</f>
        <v>1</v>
      </c>
      <c r="O198" s="0" t="s">
        <v>440</v>
      </c>
      <c r="P198" s="0" t="s">
        <v>440</v>
      </c>
    </row>
    <row r="199" customFormat="false" ht="12.8" hidden="true" customHeight="false" outlineLevel="0" collapsed="false">
      <c r="A199" s="0" t="n">
        <v>315518</v>
      </c>
      <c r="B199" s="0" t="s">
        <v>633</v>
      </c>
      <c r="E199" s="0" t="s">
        <v>17</v>
      </c>
      <c r="F199" s="0" t="s">
        <v>35</v>
      </c>
      <c r="G199" s="0" t="n">
        <v>733</v>
      </c>
      <c r="H199" s="0" t="s">
        <v>52</v>
      </c>
      <c r="I199" s="0" t="s">
        <v>20</v>
      </c>
      <c r="J199" s="0" t="n">
        <f aca="false">IF(I199=" ALARM",1,0)</f>
        <v>1</v>
      </c>
      <c r="K199" s="0" t="s">
        <v>20</v>
      </c>
      <c r="L199" s="0" t="n">
        <f aca="false">IF(K199=" ALARM",1,0)</f>
        <v>1</v>
      </c>
      <c r="M199" s="0" t="s">
        <v>20</v>
      </c>
      <c r="N199" s="0" t="n">
        <f aca="false">IF(M199=" ALARM",1,0)</f>
        <v>1</v>
      </c>
      <c r="O199" s="0" t="s">
        <v>634</v>
      </c>
      <c r="P199" s="0" t="s">
        <v>635</v>
      </c>
    </row>
    <row r="200" customFormat="false" ht="12.8" hidden="true" customHeight="false" outlineLevel="0" collapsed="false">
      <c r="A200" s="0" t="n">
        <v>315063</v>
      </c>
      <c r="B200" s="0" t="s">
        <v>636</v>
      </c>
      <c r="E200" s="0" t="s">
        <v>17</v>
      </c>
      <c r="F200" s="0" t="s">
        <v>97</v>
      </c>
      <c r="G200" s="0" t="n">
        <v>929</v>
      </c>
      <c r="H200" s="0" t="s">
        <v>490</v>
      </c>
      <c r="I200" s="0" t="s">
        <v>21</v>
      </c>
      <c r="J200" s="0" t="n">
        <f aca="false">IF(I200=" ALARM",1,0)</f>
        <v>0</v>
      </c>
      <c r="K200" s="0" t="s">
        <v>21</v>
      </c>
      <c r="L200" s="0" t="n">
        <f aca="false">IF(K200=" ALARM",1,0)</f>
        <v>0</v>
      </c>
      <c r="M200" s="0" t="s">
        <v>30</v>
      </c>
      <c r="N200" s="0" t="n">
        <f aca="false">IF(M200=" ALARM",1,0)</f>
        <v>0</v>
      </c>
      <c r="O200" s="0" t="s">
        <v>637</v>
      </c>
      <c r="P200" s="0" t="s">
        <v>637</v>
      </c>
      <c r="Q200" s="0" t="s">
        <v>638</v>
      </c>
    </row>
    <row r="201" customFormat="false" ht="12.8" hidden="true" customHeight="false" outlineLevel="0" collapsed="false">
      <c r="A201" s="0" t="n">
        <v>336123</v>
      </c>
      <c r="B201" s="0" t="s">
        <v>639</v>
      </c>
      <c r="E201" s="0" t="s">
        <v>17</v>
      </c>
      <c r="F201" s="0" t="s">
        <v>35</v>
      </c>
      <c r="G201" s="0" t="n">
        <v>39</v>
      </c>
      <c r="H201" s="0" t="s">
        <v>490</v>
      </c>
      <c r="I201" s="0" t="s">
        <v>20</v>
      </c>
      <c r="J201" s="0" t="n">
        <f aca="false">IF(I201=" ALARM",1,0)</f>
        <v>1</v>
      </c>
      <c r="K201" s="0" t="s">
        <v>20</v>
      </c>
      <c r="L201" s="0" t="n">
        <f aca="false">IF(K201=" ALARM",1,0)</f>
        <v>1</v>
      </c>
      <c r="M201" s="0" t="s">
        <v>20</v>
      </c>
      <c r="N201" s="0" t="n">
        <f aca="false">IF(M201=" ALARM",1,0)</f>
        <v>1</v>
      </c>
      <c r="O201" s="0" t="s">
        <v>640</v>
      </c>
      <c r="P201" s="0" t="s">
        <v>641</v>
      </c>
      <c r="Q201" s="0" t="s">
        <v>642</v>
      </c>
    </row>
    <row r="202" customFormat="false" ht="12.8" hidden="true" customHeight="false" outlineLevel="0" collapsed="false">
      <c r="A202" s="0" t="n">
        <v>337808</v>
      </c>
      <c r="B202" s="0" t="s">
        <v>643</v>
      </c>
      <c r="E202" s="0" t="s">
        <v>17</v>
      </c>
      <c r="F202" s="0" t="s">
        <v>35</v>
      </c>
      <c r="G202" s="0" t="n">
        <v>39</v>
      </c>
      <c r="H202" s="0" t="s">
        <v>490</v>
      </c>
      <c r="I202" s="0" t="s">
        <v>20</v>
      </c>
      <c r="J202" s="0" t="n">
        <f aca="false">IF(I202=" ALARM",1,0)</f>
        <v>1</v>
      </c>
      <c r="K202" s="0" t="s">
        <v>20</v>
      </c>
      <c r="L202" s="0" t="n">
        <f aca="false">IF(K202=" ALARM",1,0)</f>
        <v>1</v>
      </c>
      <c r="M202" s="0" t="s">
        <v>21</v>
      </c>
      <c r="N202" s="0" t="n">
        <f aca="false">IF(M202=" ALARM",1,0)</f>
        <v>0</v>
      </c>
      <c r="O202" s="0" t="s">
        <v>644</v>
      </c>
      <c r="P202" s="0" t="s">
        <v>645</v>
      </c>
      <c r="Q202" s="0" t="s">
        <v>646</v>
      </c>
    </row>
    <row r="203" customFormat="false" ht="12.8" hidden="true" customHeight="false" outlineLevel="0" collapsed="false">
      <c r="A203" s="0" t="n">
        <v>341229</v>
      </c>
      <c r="B203" s="0" t="s">
        <v>647</v>
      </c>
      <c r="E203" s="0" t="s">
        <v>17</v>
      </c>
      <c r="F203" s="0" t="s">
        <v>35</v>
      </c>
      <c r="G203" s="0" t="n">
        <v>39</v>
      </c>
      <c r="H203" s="0" t="s">
        <v>490</v>
      </c>
      <c r="I203" s="0" t="s">
        <v>20</v>
      </c>
      <c r="J203" s="0" t="n">
        <f aca="false">IF(I203=" ALARM",1,0)</f>
        <v>1</v>
      </c>
      <c r="K203" s="0" t="s">
        <v>20</v>
      </c>
      <c r="L203" s="0" t="n">
        <f aca="false">IF(K203=" ALARM",1,0)</f>
        <v>1</v>
      </c>
      <c r="M203" s="0" t="s">
        <v>20</v>
      </c>
      <c r="N203" s="0" t="n">
        <f aca="false">IF(M203=" ALARM",1,0)</f>
        <v>1</v>
      </c>
      <c r="O203" s="0" t="s">
        <v>648</v>
      </c>
      <c r="P203" s="0" t="s">
        <v>649</v>
      </c>
      <c r="Q203" s="0" t="s">
        <v>650</v>
      </c>
    </row>
    <row r="204" customFormat="false" ht="12.8" hidden="true" customHeight="false" outlineLevel="0" collapsed="false">
      <c r="A204" s="0" t="n">
        <v>341240</v>
      </c>
      <c r="B204" s="0" t="s">
        <v>651</v>
      </c>
      <c r="E204" s="0" t="s">
        <v>17</v>
      </c>
      <c r="F204" s="0" t="s">
        <v>35</v>
      </c>
      <c r="G204" s="0" t="n">
        <v>39</v>
      </c>
      <c r="H204" s="0" t="s">
        <v>490</v>
      </c>
      <c r="I204" s="0" t="s">
        <v>20</v>
      </c>
      <c r="J204" s="0" t="n">
        <f aca="false">IF(I204=" ALARM",1,0)</f>
        <v>1</v>
      </c>
      <c r="K204" s="0" t="s">
        <v>20</v>
      </c>
      <c r="L204" s="0" t="n">
        <f aca="false">IF(K204=" ALARM",1,0)</f>
        <v>1</v>
      </c>
      <c r="M204" s="0" t="s">
        <v>20</v>
      </c>
      <c r="N204" s="0" t="n">
        <f aca="false">IF(M204=" ALARM",1,0)</f>
        <v>1</v>
      </c>
      <c r="O204" s="0" t="s">
        <v>652</v>
      </c>
      <c r="P204" s="0" t="s">
        <v>653</v>
      </c>
      <c r="Q204" s="0" t="s">
        <v>650</v>
      </c>
    </row>
    <row r="205" customFormat="false" ht="12.8" hidden="true" customHeight="false" outlineLevel="0" collapsed="false">
      <c r="A205" s="0" t="n">
        <v>342354</v>
      </c>
      <c r="B205" s="0" t="s">
        <v>654</v>
      </c>
      <c r="E205" s="0" t="s">
        <v>17</v>
      </c>
      <c r="F205" s="0" t="s">
        <v>35</v>
      </c>
      <c r="G205" s="0" t="n">
        <v>39</v>
      </c>
      <c r="H205" s="0" t="s">
        <v>490</v>
      </c>
      <c r="I205" s="0" t="s">
        <v>20</v>
      </c>
      <c r="J205" s="0" t="n">
        <f aca="false">IF(I205=" ALARM",1,0)</f>
        <v>1</v>
      </c>
      <c r="K205" s="0" t="s">
        <v>20</v>
      </c>
      <c r="L205" s="0" t="n">
        <f aca="false">IF(K205=" ALARM",1,0)</f>
        <v>1</v>
      </c>
      <c r="M205" s="0" t="s">
        <v>20</v>
      </c>
      <c r="N205" s="0" t="n">
        <f aca="false">IF(M205=" ALARM",1,0)</f>
        <v>1</v>
      </c>
      <c r="O205" s="0" t="s">
        <v>655</v>
      </c>
      <c r="P205" s="0" t="s">
        <v>656</v>
      </c>
      <c r="Q205" s="0" t="s">
        <v>657</v>
      </c>
    </row>
    <row r="206" customFormat="false" ht="12.8" hidden="true" customHeight="false" outlineLevel="0" collapsed="false">
      <c r="A206" s="0" t="n">
        <v>347637</v>
      </c>
      <c r="B206" s="0" t="s">
        <v>658</v>
      </c>
      <c r="E206" s="0" t="s">
        <v>17</v>
      </c>
      <c r="F206" s="0" t="s">
        <v>35</v>
      </c>
      <c r="G206" s="0" t="n">
        <v>39</v>
      </c>
      <c r="H206" s="0" t="s">
        <v>490</v>
      </c>
      <c r="I206" s="0" t="s">
        <v>20</v>
      </c>
      <c r="J206" s="0" t="n">
        <f aca="false">IF(I206=" ALARM",1,0)</f>
        <v>1</v>
      </c>
      <c r="K206" s="0" t="s">
        <v>20</v>
      </c>
      <c r="L206" s="0" t="n">
        <f aca="false">IF(K206=" ALARM",1,0)</f>
        <v>1</v>
      </c>
      <c r="M206" s="0" t="s">
        <v>20</v>
      </c>
      <c r="N206" s="0" t="n">
        <f aca="false">IF(M206=" ALARM",1,0)</f>
        <v>1</v>
      </c>
      <c r="O206" s="0" t="s">
        <v>659</v>
      </c>
      <c r="P206" s="0" t="s">
        <v>660</v>
      </c>
      <c r="Q206" s="0" t="s">
        <v>661</v>
      </c>
    </row>
    <row r="207" customFormat="false" ht="12.8" hidden="true" customHeight="false" outlineLevel="0" collapsed="false">
      <c r="A207" s="0" t="n">
        <v>351128</v>
      </c>
      <c r="B207" s="0" t="s">
        <v>662</v>
      </c>
      <c r="E207" s="0" t="s">
        <v>17</v>
      </c>
      <c r="F207" s="0" t="s">
        <v>18</v>
      </c>
      <c r="G207" s="0" t="n">
        <v>39</v>
      </c>
      <c r="H207" s="0" t="s">
        <v>490</v>
      </c>
      <c r="I207" s="0" t="s">
        <v>20</v>
      </c>
      <c r="J207" s="0" t="n">
        <f aca="false">IF(I207=" ALARM",1,0)</f>
        <v>1</v>
      </c>
      <c r="K207" s="0" t="s">
        <v>20</v>
      </c>
      <c r="L207" s="0" t="n">
        <f aca="false">IF(K207=" ALARM",1,0)</f>
        <v>1</v>
      </c>
      <c r="M207" s="0" t="s">
        <v>20</v>
      </c>
      <c r="N207" s="0" t="n">
        <f aca="false">IF(M207=" ALARM",1,0)</f>
        <v>1</v>
      </c>
      <c r="O207" s="0" t="s">
        <v>663</v>
      </c>
      <c r="P207" s="0" t="s">
        <v>664</v>
      </c>
      <c r="Q207" s="0" t="s">
        <v>476</v>
      </c>
    </row>
    <row r="208" customFormat="false" ht="12.8" hidden="true" customHeight="false" outlineLevel="0" collapsed="false">
      <c r="A208" s="0" t="n">
        <v>351367</v>
      </c>
      <c r="B208" s="0" t="s">
        <v>665</v>
      </c>
      <c r="E208" s="0" t="s">
        <v>17</v>
      </c>
      <c r="F208" s="0" t="s">
        <v>18</v>
      </c>
      <c r="G208" s="0" t="n">
        <v>1048</v>
      </c>
      <c r="H208" s="0" t="s">
        <v>52</v>
      </c>
      <c r="I208" s="0" t="s">
        <v>21</v>
      </c>
      <c r="J208" s="0" t="n">
        <f aca="false">IF(I208=" ALARM",1,0)</f>
        <v>0</v>
      </c>
      <c r="K208" s="0" t="s">
        <v>21</v>
      </c>
      <c r="L208" s="0" t="n">
        <f aca="false">IF(K208=" ALARM",1,0)</f>
        <v>0</v>
      </c>
      <c r="M208" s="0" t="s">
        <v>20</v>
      </c>
      <c r="N208" s="0" t="n">
        <f aca="false">IF(M208=" ALARM",1,0)</f>
        <v>1</v>
      </c>
      <c r="O208" s="0" t="s">
        <v>440</v>
      </c>
      <c r="P208" s="0" t="s">
        <v>440</v>
      </c>
      <c r="Q208" s="0" t="s">
        <v>666</v>
      </c>
    </row>
    <row r="209" customFormat="false" ht="12.8" hidden="true" customHeight="false" outlineLevel="0" collapsed="false">
      <c r="A209" s="0" t="n">
        <v>362221</v>
      </c>
      <c r="B209" s="0" t="s">
        <v>667</v>
      </c>
      <c r="E209" s="0" t="s">
        <v>17</v>
      </c>
      <c r="F209" s="0" t="s">
        <v>35</v>
      </c>
      <c r="G209" s="0" t="n">
        <v>39</v>
      </c>
      <c r="H209" s="0" t="s">
        <v>490</v>
      </c>
      <c r="I209" s="0" t="s">
        <v>20</v>
      </c>
      <c r="J209" s="0" t="n">
        <f aca="false">IF(I209=" ALARM",1,0)</f>
        <v>1</v>
      </c>
      <c r="K209" s="0" t="s">
        <v>20</v>
      </c>
      <c r="L209" s="0" t="n">
        <f aca="false">IF(K209=" ALARM",1,0)</f>
        <v>1</v>
      </c>
      <c r="M209" s="0" t="s">
        <v>20</v>
      </c>
      <c r="N209" s="0" t="n">
        <f aca="false">IF(M209=" ALARM",1,0)</f>
        <v>1</v>
      </c>
      <c r="O209" s="0" t="s">
        <v>668</v>
      </c>
      <c r="P209" s="0" t="s">
        <v>669</v>
      </c>
      <c r="Q209" s="0" t="s">
        <v>670</v>
      </c>
    </row>
    <row r="210" customFormat="false" ht="12.8" hidden="true" customHeight="false" outlineLevel="0" collapsed="false">
      <c r="A210" s="0" t="n">
        <v>362980</v>
      </c>
      <c r="B210" s="0" t="s">
        <v>671</v>
      </c>
      <c r="E210" s="0" t="s">
        <v>17</v>
      </c>
      <c r="F210" s="0" t="s">
        <v>35</v>
      </c>
      <c r="G210" s="0" t="n">
        <v>733</v>
      </c>
      <c r="H210" s="0" t="s">
        <v>52</v>
      </c>
      <c r="I210" s="0" t="s">
        <v>30</v>
      </c>
      <c r="J210" s="0" t="n">
        <f aca="false">IF(I210=" ALARM",1,0)</f>
        <v>0</v>
      </c>
      <c r="K210" s="0" t="s">
        <v>20</v>
      </c>
      <c r="L210" s="0" t="n">
        <f aca="false">IF(K210=" ALARM",1,0)</f>
        <v>1</v>
      </c>
      <c r="M210" s="0" t="s">
        <v>20</v>
      </c>
      <c r="N210" s="0" t="n">
        <f aca="false">IF(M210=" ALARM",1,0)</f>
        <v>1</v>
      </c>
      <c r="O210" s="0" t="s">
        <v>672</v>
      </c>
      <c r="P210" s="0" t="s">
        <v>673</v>
      </c>
    </row>
    <row r="211" customFormat="false" ht="12.8" hidden="true" customHeight="false" outlineLevel="0" collapsed="false">
      <c r="A211" s="0" t="n">
        <v>363031</v>
      </c>
      <c r="B211" s="0" t="s">
        <v>674</v>
      </c>
      <c r="E211" s="0" t="s">
        <v>17</v>
      </c>
      <c r="F211" s="0" t="s">
        <v>35</v>
      </c>
      <c r="G211" s="0" t="n">
        <v>733</v>
      </c>
      <c r="H211" s="0" t="s">
        <v>52</v>
      </c>
      <c r="I211" s="0" t="s">
        <v>20</v>
      </c>
      <c r="J211" s="0" t="n">
        <f aca="false">IF(I211=" ALARM",1,0)</f>
        <v>1</v>
      </c>
      <c r="K211" s="0" t="s">
        <v>20</v>
      </c>
      <c r="L211" s="0" t="n">
        <f aca="false">IF(K211=" ALARM",1,0)</f>
        <v>1</v>
      </c>
      <c r="M211" s="0" t="s">
        <v>20</v>
      </c>
      <c r="N211" s="0" t="n">
        <f aca="false">IF(M211=" ALARM",1,0)</f>
        <v>1</v>
      </c>
      <c r="O211" s="0" t="s">
        <v>675</v>
      </c>
      <c r="P211" s="0" t="s">
        <v>676</v>
      </c>
    </row>
    <row r="212" customFormat="false" ht="12.8" hidden="true" customHeight="false" outlineLevel="0" collapsed="false">
      <c r="A212" s="0" t="n">
        <v>363089</v>
      </c>
      <c r="B212" s="0" t="s">
        <v>677</v>
      </c>
      <c r="E212" s="0" t="s">
        <v>17</v>
      </c>
      <c r="F212" s="0" t="s">
        <v>35</v>
      </c>
      <c r="G212" s="0" t="n">
        <v>733</v>
      </c>
      <c r="H212" s="0" t="s">
        <v>52</v>
      </c>
      <c r="I212" s="0" t="s">
        <v>30</v>
      </c>
      <c r="J212" s="0" t="n">
        <f aca="false">IF(I212=" ALARM",1,0)</f>
        <v>0</v>
      </c>
      <c r="K212" s="0" t="s">
        <v>20</v>
      </c>
      <c r="L212" s="0" t="n">
        <f aca="false">IF(K212=" ALARM",1,0)</f>
        <v>1</v>
      </c>
      <c r="M212" s="0" t="s">
        <v>20</v>
      </c>
      <c r="N212" s="0" t="n">
        <f aca="false">IF(M212=" ALARM",1,0)</f>
        <v>1</v>
      </c>
      <c r="O212" s="0" t="s">
        <v>678</v>
      </c>
      <c r="P212" s="0" t="s">
        <v>679</v>
      </c>
    </row>
    <row r="213" customFormat="false" ht="12.8" hidden="true" customHeight="false" outlineLevel="0" collapsed="false">
      <c r="A213" s="0" t="n">
        <v>363138</v>
      </c>
      <c r="B213" s="0" t="s">
        <v>680</v>
      </c>
      <c r="E213" s="0" t="s">
        <v>17</v>
      </c>
      <c r="F213" s="0" t="s">
        <v>35</v>
      </c>
      <c r="G213" s="0" t="n">
        <v>733</v>
      </c>
      <c r="H213" s="0" t="s">
        <v>52</v>
      </c>
      <c r="I213" s="0" t="s">
        <v>20</v>
      </c>
      <c r="J213" s="0" t="n">
        <f aca="false">IF(I213=" ALARM",1,0)</f>
        <v>1</v>
      </c>
      <c r="K213" s="0" t="s">
        <v>20</v>
      </c>
      <c r="L213" s="0" t="n">
        <f aca="false">IF(K213=" ALARM",1,0)</f>
        <v>1</v>
      </c>
      <c r="M213" s="0" t="s">
        <v>20</v>
      </c>
      <c r="N213" s="0" t="n">
        <f aca="false">IF(M213=" ALARM",1,0)</f>
        <v>1</v>
      </c>
      <c r="O213" s="0" t="s">
        <v>681</v>
      </c>
      <c r="P213" s="0" t="s">
        <v>682</v>
      </c>
    </row>
    <row r="214" customFormat="false" ht="12.8" hidden="true" customHeight="false" outlineLevel="0" collapsed="false">
      <c r="A214" s="0" t="n">
        <v>363195</v>
      </c>
      <c r="B214" s="0" t="s">
        <v>683</v>
      </c>
      <c r="E214" s="0" t="s">
        <v>17</v>
      </c>
      <c r="F214" s="0" t="s">
        <v>35</v>
      </c>
      <c r="G214" s="0" t="n">
        <v>733</v>
      </c>
      <c r="H214" s="0" t="s">
        <v>52</v>
      </c>
      <c r="I214" s="0" t="s">
        <v>20</v>
      </c>
      <c r="J214" s="0" t="n">
        <f aca="false">IF(I214=" ALARM",1,0)</f>
        <v>1</v>
      </c>
      <c r="K214" s="0" t="s">
        <v>20</v>
      </c>
      <c r="L214" s="0" t="n">
        <f aca="false">IF(K214=" ALARM",1,0)</f>
        <v>1</v>
      </c>
      <c r="M214" s="0" t="s">
        <v>20</v>
      </c>
      <c r="N214" s="0" t="n">
        <f aca="false">IF(M214=" ALARM",1,0)</f>
        <v>1</v>
      </c>
      <c r="O214" s="0" t="s">
        <v>684</v>
      </c>
      <c r="P214" s="0" t="s">
        <v>685</v>
      </c>
    </row>
    <row r="215" customFormat="false" ht="12.8" hidden="true" customHeight="false" outlineLevel="0" collapsed="false">
      <c r="A215" s="0" t="n">
        <v>364140</v>
      </c>
      <c r="B215" s="0" t="s">
        <v>686</v>
      </c>
      <c r="E215" s="0" t="s">
        <v>17</v>
      </c>
      <c r="F215" s="0" t="s">
        <v>35</v>
      </c>
      <c r="G215" s="0" t="n">
        <v>39</v>
      </c>
      <c r="H215" s="0" t="s">
        <v>490</v>
      </c>
      <c r="I215" s="0" t="s">
        <v>20</v>
      </c>
      <c r="J215" s="0" t="n">
        <f aca="false">IF(I215=" ALARM",1,0)</f>
        <v>1</v>
      </c>
      <c r="K215" s="0" t="s">
        <v>20</v>
      </c>
      <c r="L215" s="0" t="n">
        <f aca="false">IF(K215=" ALARM",1,0)</f>
        <v>1</v>
      </c>
      <c r="M215" s="0" t="s">
        <v>20</v>
      </c>
      <c r="N215" s="0" t="n">
        <f aca="false">IF(M215=" ALARM",1,0)</f>
        <v>1</v>
      </c>
      <c r="O215" s="0" t="s">
        <v>687</v>
      </c>
      <c r="P215" s="0" t="s">
        <v>688</v>
      </c>
      <c r="Q215" s="0" t="s">
        <v>689</v>
      </c>
    </row>
    <row r="216" customFormat="false" ht="12.8" hidden="true" customHeight="false" outlineLevel="0" collapsed="false">
      <c r="A216" s="0" t="n">
        <v>364492</v>
      </c>
      <c r="B216" s="0" t="s">
        <v>690</v>
      </c>
      <c r="E216" s="0" t="s">
        <v>17</v>
      </c>
      <c r="F216" s="0" t="s">
        <v>35</v>
      </c>
      <c r="G216" s="0" t="n">
        <v>733</v>
      </c>
      <c r="H216" s="0" t="s">
        <v>52</v>
      </c>
      <c r="I216" s="0" t="s">
        <v>21</v>
      </c>
      <c r="J216" s="0" t="n">
        <f aca="false">IF(I216=" ALARM",1,0)</f>
        <v>0</v>
      </c>
      <c r="K216" s="0" t="s">
        <v>21</v>
      </c>
      <c r="L216" s="0" t="n">
        <f aca="false">IF(K216=" ALARM",1,0)</f>
        <v>0</v>
      </c>
      <c r="M216" s="0" t="s">
        <v>20</v>
      </c>
      <c r="N216" s="0" t="n">
        <f aca="false">IF(M216=" ALARM",1,0)</f>
        <v>1</v>
      </c>
      <c r="O216" s="0" t="s">
        <v>440</v>
      </c>
      <c r="P216" s="0" t="s">
        <v>440</v>
      </c>
    </row>
    <row r="217" customFormat="false" ht="12.8" hidden="true" customHeight="false" outlineLevel="0" collapsed="false">
      <c r="A217" s="0" t="n">
        <v>364502</v>
      </c>
      <c r="B217" s="0" t="s">
        <v>691</v>
      </c>
      <c r="E217" s="0" t="s">
        <v>17</v>
      </c>
      <c r="F217" s="0" t="s">
        <v>35</v>
      </c>
      <c r="G217" s="0" t="n">
        <v>733</v>
      </c>
      <c r="H217" s="0" t="s">
        <v>52</v>
      </c>
      <c r="I217" s="0" t="s">
        <v>30</v>
      </c>
      <c r="J217" s="0" t="n">
        <f aca="false">IF(I217=" ALARM",1,0)</f>
        <v>0</v>
      </c>
      <c r="K217" s="0" t="s">
        <v>20</v>
      </c>
      <c r="L217" s="0" t="n">
        <f aca="false">IF(K217=" ALARM",1,0)</f>
        <v>1</v>
      </c>
      <c r="M217" s="0" t="s">
        <v>20</v>
      </c>
      <c r="N217" s="0" t="n">
        <f aca="false">IF(M217=" ALARM",1,0)</f>
        <v>1</v>
      </c>
      <c r="O217" s="0" t="s">
        <v>692</v>
      </c>
      <c r="P217" s="0" t="s">
        <v>693</v>
      </c>
    </row>
    <row r="218" customFormat="false" ht="12.8" hidden="true" customHeight="false" outlineLevel="0" collapsed="false">
      <c r="A218" s="0" t="n">
        <v>365282</v>
      </c>
      <c r="B218" s="0" t="s">
        <v>694</v>
      </c>
      <c r="E218" s="0" t="s">
        <v>17</v>
      </c>
      <c r="F218" s="0" t="s">
        <v>18</v>
      </c>
      <c r="G218" s="0" t="n">
        <v>39</v>
      </c>
      <c r="H218" s="0" t="s">
        <v>490</v>
      </c>
      <c r="I218" s="0" t="s">
        <v>20</v>
      </c>
      <c r="J218" s="0" t="n">
        <f aca="false">IF(I218=" ALARM",1,0)</f>
        <v>1</v>
      </c>
      <c r="K218" s="0" t="s">
        <v>20</v>
      </c>
      <c r="L218" s="0" t="n">
        <f aca="false">IF(K218=" ALARM",1,0)</f>
        <v>1</v>
      </c>
      <c r="M218" s="0" t="s">
        <v>30</v>
      </c>
      <c r="N218" s="0" t="n">
        <f aca="false">IF(M218=" ALARM",1,0)</f>
        <v>0</v>
      </c>
      <c r="O218" s="0" t="s">
        <v>695</v>
      </c>
      <c r="P218" s="0" t="s">
        <v>696</v>
      </c>
      <c r="Q218" s="0" t="s">
        <v>697</v>
      </c>
    </row>
    <row r="219" customFormat="false" ht="12.8" hidden="true" customHeight="false" outlineLevel="0" collapsed="false">
      <c r="A219" s="0" t="n">
        <v>366325</v>
      </c>
      <c r="B219" s="0" t="s">
        <v>698</v>
      </c>
      <c r="E219" s="0" t="s">
        <v>17</v>
      </c>
      <c r="F219" s="0" t="s">
        <v>35</v>
      </c>
      <c r="G219" s="0" t="n">
        <v>39</v>
      </c>
      <c r="H219" s="0" t="s">
        <v>490</v>
      </c>
      <c r="I219" s="0" t="s">
        <v>20</v>
      </c>
      <c r="J219" s="0" t="n">
        <f aca="false">IF(I219=" ALARM",1,0)</f>
        <v>1</v>
      </c>
      <c r="K219" s="0" t="s">
        <v>20</v>
      </c>
      <c r="L219" s="0" t="n">
        <f aca="false">IF(K219=" ALARM",1,0)</f>
        <v>1</v>
      </c>
      <c r="M219" s="0" t="s">
        <v>20</v>
      </c>
      <c r="N219" s="0" t="n">
        <f aca="false">IF(M219=" ALARM",1,0)</f>
        <v>1</v>
      </c>
      <c r="O219" s="0" t="s">
        <v>699</v>
      </c>
      <c r="P219" s="0" t="s">
        <v>700</v>
      </c>
      <c r="Q219" s="0" t="s">
        <v>701</v>
      </c>
    </row>
    <row r="220" customFormat="false" ht="12.8" hidden="true" customHeight="false" outlineLevel="0" collapsed="false">
      <c r="A220" s="0" t="n">
        <v>366342</v>
      </c>
      <c r="B220" s="0" t="s">
        <v>702</v>
      </c>
      <c r="E220" s="0" t="s">
        <v>17</v>
      </c>
      <c r="F220" s="0" t="s">
        <v>35</v>
      </c>
      <c r="G220" s="0" t="n">
        <v>39</v>
      </c>
      <c r="H220" s="0" t="s">
        <v>490</v>
      </c>
      <c r="I220" s="0" t="s">
        <v>20</v>
      </c>
      <c r="J220" s="0" t="n">
        <f aca="false">IF(I220=" ALARM",1,0)</f>
        <v>1</v>
      </c>
      <c r="K220" s="0" t="s">
        <v>20</v>
      </c>
      <c r="L220" s="0" t="n">
        <f aca="false">IF(K220=" ALARM",1,0)</f>
        <v>1</v>
      </c>
      <c r="M220" s="0" t="s">
        <v>20</v>
      </c>
      <c r="N220" s="0" t="n">
        <f aca="false">IF(M220=" ALARM",1,0)</f>
        <v>1</v>
      </c>
      <c r="O220" s="0" t="s">
        <v>703</v>
      </c>
      <c r="P220" s="0" t="s">
        <v>704</v>
      </c>
    </row>
    <row r="221" customFormat="false" ht="12.8" hidden="true" customHeight="false" outlineLevel="0" collapsed="false">
      <c r="A221" s="0" t="n">
        <v>368229</v>
      </c>
      <c r="B221" s="0" t="s">
        <v>705</v>
      </c>
      <c r="E221" s="0" t="s">
        <v>17</v>
      </c>
      <c r="F221" s="0" t="s">
        <v>35</v>
      </c>
      <c r="G221" s="0" t="n">
        <v>1100</v>
      </c>
      <c r="H221" s="0" t="s">
        <v>52</v>
      </c>
      <c r="I221" s="0" t="s">
        <v>20</v>
      </c>
      <c r="J221" s="0" t="n">
        <f aca="false">IF(I221=" ALARM",1,0)</f>
        <v>1</v>
      </c>
      <c r="K221" s="0" t="s">
        <v>20</v>
      </c>
      <c r="L221" s="0" t="n">
        <f aca="false">IF(K221=" ALARM",1,0)</f>
        <v>1</v>
      </c>
      <c r="M221" s="0" t="s">
        <v>20</v>
      </c>
      <c r="N221" s="0" t="n">
        <f aca="false">IF(M221=" ALARM",1,0)</f>
        <v>1</v>
      </c>
      <c r="O221" s="0" t="s">
        <v>706</v>
      </c>
      <c r="P221" s="0" t="s">
        <v>707</v>
      </c>
      <c r="Q221" s="0" t="s">
        <v>708</v>
      </c>
    </row>
    <row r="222" customFormat="false" ht="12.8" hidden="true" customHeight="false" outlineLevel="0" collapsed="false">
      <c r="A222" s="0" t="n">
        <v>374043</v>
      </c>
      <c r="B222" s="0" t="s">
        <v>709</v>
      </c>
      <c r="E222" s="0" t="s">
        <v>17</v>
      </c>
      <c r="F222" s="0" t="s">
        <v>18</v>
      </c>
      <c r="G222" s="0" t="n">
        <v>39</v>
      </c>
      <c r="H222" s="0" t="s">
        <v>490</v>
      </c>
      <c r="I222" s="0" t="s">
        <v>20</v>
      </c>
      <c r="J222" s="0" t="n">
        <f aca="false">IF(I222=" ALARM",1,0)</f>
        <v>1</v>
      </c>
      <c r="K222" s="0" t="s">
        <v>20</v>
      </c>
      <c r="L222" s="0" t="n">
        <f aca="false">IF(K222=" ALARM",1,0)</f>
        <v>1</v>
      </c>
      <c r="M222" s="0" t="s">
        <v>20</v>
      </c>
      <c r="N222" s="0" t="n">
        <f aca="false">IF(M222=" ALARM",1,0)</f>
        <v>1</v>
      </c>
      <c r="O222" s="0" t="s">
        <v>710</v>
      </c>
      <c r="P222" s="0" t="s">
        <v>711</v>
      </c>
      <c r="Q222" s="0" t="s">
        <v>712</v>
      </c>
    </row>
    <row r="223" customFormat="false" ht="12.8" hidden="true" customHeight="false" outlineLevel="0" collapsed="false">
      <c r="A223" s="0" t="n">
        <v>370716</v>
      </c>
      <c r="B223" s="0" t="s">
        <v>713</v>
      </c>
      <c r="E223" s="0" t="s">
        <v>17</v>
      </c>
      <c r="F223" s="0" t="s">
        <v>35</v>
      </c>
      <c r="G223" s="0" t="n">
        <v>1100</v>
      </c>
      <c r="H223" s="0" t="s">
        <v>52</v>
      </c>
      <c r="I223" s="0" t="s">
        <v>20</v>
      </c>
      <c r="J223" s="0" t="n">
        <f aca="false">IF(I223=" ALARM",1,0)</f>
        <v>1</v>
      </c>
      <c r="K223" s="0" t="s">
        <v>20</v>
      </c>
      <c r="L223" s="0" t="n">
        <f aca="false">IF(K223=" ALARM",1,0)</f>
        <v>1</v>
      </c>
      <c r="M223" s="0" t="s">
        <v>20</v>
      </c>
      <c r="N223" s="0" t="n">
        <f aca="false">IF(M223=" ALARM",1,0)</f>
        <v>1</v>
      </c>
      <c r="O223" s="0" t="s">
        <v>714</v>
      </c>
      <c r="P223" s="0" t="s">
        <v>715</v>
      </c>
    </row>
    <row r="224" customFormat="false" ht="12.8" hidden="true" customHeight="false" outlineLevel="0" collapsed="false">
      <c r="A224" s="0" t="n">
        <v>376784</v>
      </c>
      <c r="B224" s="0" t="s">
        <v>716</v>
      </c>
      <c r="E224" s="0" t="s">
        <v>17</v>
      </c>
      <c r="F224" s="0" t="s">
        <v>35</v>
      </c>
      <c r="G224" s="0" t="n">
        <v>1110</v>
      </c>
      <c r="H224" s="0" t="s">
        <v>52</v>
      </c>
      <c r="I224" s="0" t="s">
        <v>20</v>
      </c>
      <c r="J224" s="0" t="n">
        <f aca="false">IF(I224=" ALARM",1,0)</f>
        <v>1</v>
      </c>
      <c r="K224" s="0" t="s">
        <v>20</v>
      </c>
      <c r="L224" s="0" t="n">
        <f aca="false">IF(K224=" ALARM",1,0)</f>
        <v>1</v>
      </c>
      <c r="M224" s="0" t="s">
        <v>20</v>
      </c>
      <c r="N224" s="0" t="n">
        <f aca="false">IF(M224=" ALARM",1,0)</f>
        <v>1</v>
      </c>
      <c r="O224" s="0" t="s">
        <v>717</v>
      </c>
      <c r="P224" s="0" t="s">
        <v>718</v>
      </c>
    </row>
    <row r="225" customFormat="false" ht="12.8" hidden="true" customHeight="false" outlineLevel="0" collapsed="false">
      <c r="A225" s="0" t="n">
        <v>409650</v>
      </c>
      <c r="B225" s="0" t="s">
        <v>719</v>
      </c>
      <c r="E225" s="0" t="s">
        <v>17</v>
      </c>
      <c r="F225" s="0" t="s">
        <v>35</v>
      </c>
      <c r="G225" s="0" t="n">
        <v>39</v>
      </c>
      <c r="H225" s="0" t="s">
        <v>490</v>
      </c>
      <c r="I225" s="0" t="s">
        <v>20</v>
      </c>
      <c r="J225" s="0" t="n">
        <f aca="false">IF(I225=" ALARM",1,0)</f>
        <v>1</v>
      </c>
      <c r="K225" s="0" t="s">
        <v>20</v>
      </c>
      <c r="L225" s="0" t="n">
        <f aca="false">IF(K225=" ALARM",1,0)</f>
        <v>1</v>
      </c>
      <c r="M225" s="0" t="s">
        <v>20</v>
      </c>
      <c r="N225" s="0" t="n">
        <f aca="false">IF(M225=" ALARM",1,0)</f>
        <v>1</v>
      </c>
      <c r="O225" s="0" t="s">
        <v>720</v>
      </c>
      <c r="P225" s="0" t="s">
        <v>721</v>
      </c>
      <c r="Q225" s="0" t="s">
        <v>722</v>
      </c>
    </row>
    <row r="226" customFormat="false" ht="12.8" hidden="true" customHeight="false" outlineLevel="0" collapsed="false">
      <c r="A226" s="0" t="n">
        <v>409661</v>
      </c>
      <c r="B226" s="0" t="s">
        <v>723</v>
      </c>
      <c r="E226" s="0" t="s">
        <v>17</v>
      </c>
      <c r="F226" s="0" t="s">
        <v>18</v>
      </c>
      <c r="G226" s="0" t="n">
        <v>39</v>
      </c>
      <c r="H226" s="0" t="s">
        <v>490</v>
      </c>
      <c r="I226" s="0" t="s">
        <v>20</v>
      </c>
      <c r="J226" s="0" t="n">
        <f aca="false">IF(I226=" ALARM",1,0)</f>
        <v>1</v>
      </c>
      <c r="K226" s="0" t="s">
        <v>20</v>
      </c>
      <c r="L226" s="0" t="n">
        <f aca="false">IF(K226=" ALARM",1,0)</f>
        <v>1</v>
      </c>
      <c r="M226" s="0" t="s">
        <v>20</v>
      </c>
      <c r="N226" s="0" t="n">
        <f aca="false">IF(M226=" ALARM",1,0)</f>
        <v>1</v>
      </c>
      <c r="O226" s="0" t="s">
        <v>724</v>
      </c>
      <c r="P226" s="0" t="s">
        <v>725</v>
      </c>
      <c r="Q226" s="0" t="s">
        <v>726</v>
      </c>
    </row>
    <row r="227" customFormat="false" ht="12.8" hidden="true" customHeight="false" outlineLevel="0" collapsed="false">
      <c r="A227" s="0" t="n">
        <v>464916</v>
      </c>
      <c r="B227" s="0" t="s">
        <v>727</v>
      </c>
      <c r="E227" s="0" t="s">
        <v>17</v>
      </c>
      <c r="F227" s="0" t="s">
        <v>35</v>
      </c>
      <c r="G227" s="0" t="n">
        <v>39</v>
      </c>
      <c r="H227" s="0" t="s">
        <v>490</v>
      </c>
      <c r="I227" s="0" t="s">
        <v>20</v>
      </c>
      <c r="J227" s="0" t="n">
        <f aca="false">IF(I227=" ALARM",1,0)</f>
        <v>1</v>
      </c>
      <c r="K227" s="0" t="s">
        <v>20</v>
      </c>
      <c r="L227" s="0" t="n">
        <f aca="false">IF(K227=" ALARM",1,0)</f>
        <v>1</v>
      </c>
      <c r="M227" s="0" t="s">
        <v>20</v>
      </c>
      <c r="N227" s="0" t="n">
        <f aca="false">IF(M227=" ALARM",1,0)</f>
        <v>1</v>
      </c>
      <c r="O227" s="0" t="s">
        <v>728</v>
      </c>
      <c r="P227" s="0" t="s">
        <v>729</v>
      </c>
      <c r="Q227" s="0" t="s">
        <v>730</v>
      </c>
    </row>
    <row r="228" customFormat="false" ht="12.8" hidden="true" customHeight="false" outlineLevel="0" collapsed="false">
      <c r="A228" s="0" t="n">
        <v>464918</v>
      </c>
      <c r="B228" s="0" t="s">
        <v>731</v>
      </c>
      <c r="E228" s="0" t="s">
        <v>17</v>
      </c>
      <c r="F228" s="0" t="s">
        <v>18</v>
      </c>
      <c r="G228" s="0" t="n">
        <v>39</v>
      </c>
      <c r="H228" s="0" t="s">
        <v>490</v>
      </c>
      <c r="I228" s="0" t="s">
        <v>20</v>
      </c>
      <c r="J228" s="0" t="n">
        <f aca="false">IF(I228=" ALARM",1,0)</f>
        <v>1</v>
      </c>
      <c r="K228" s="0" t="s">
        <v>20</v>
      </c>
      <c r="L228" s="0" t="n">
        <f aca="false">IF(K228=" ALARM",1,0)</f>
        <v>1</v>
      </c>
      <c r="M228" s="0" t="s">
        <v>20</v>
      </c>
      <c r="N228" s="0" t="n">
        <f aca="false">IF(M228=" ALARM",1,0)</f>
        <v>1</v>
      </c>
      <c r="O228" s="0" t="s">
        <v>732</v>
      </c>
      <c r="P228" s="0" t="s">
        <v>733</v>
      </c>
      <c r="Q228" s="0" t="s">
        <v>734</v>
      </c>
    </row>
    <row r="229" customFormat="false" ht="12.8" hidden="true" customHeight="false" outlineLevel="0" collapsed="false">
      <c r="A229" s="0" t="n">
        <v>464459</v>
      </c>
      <c r="B229" s="0" t="s">
        <v>735</v>
      </c>
      <c r="E229" s="0" t="s">
        <v>17</v>
      </c>
      <c r="F229" s="0" t="s">
        <v>35</v>
      </c>
      <c r="G229" s="0" t="n">
        <v>733</v>
      </c>
      <c r="H229" s="0" t="s">
        <v>52</v>
      </c>
      <c r="I229" s="0" t="s">
        <v>20</v>
      </c>
      <c r="J229" s="0" t="n">
        <f aca="false">IF(I229=" ALARM",1,0)</f>
        <v>1</v>
      </c>
      <c r="K229" s="0" t="s">
        <v>20</v>
      </c>
      <c r="L229" s="0" t="n">
        <f aca="false">IF(K229=" ALARM",1,0)</f>
        <v>1</v>
      </c>
      <c r="M229" s="0" t="s">
        <v>20</v>
      </c>
      <c r="N229" s="0" t="n">
        <f aca="false">IF(M229=" ALARM",1,0)</f>
        <v>1</v>
      </c>
      <c r="O229" s="0" t="s">
        <v>736</v>
      </c>
      <c r="P229" s="0" t="s">
        <v>737</v>
      </c>
    </row>
    <row r="230" customFormat="false" ht="12.8" hidden="true" customHeight="false" outlineLevel="0" collapsed="false">
      <c r="A230" s="0" t="n">
        <v>485866</v>
      </c>
      <c r="B230" s="0" t="s">
        <v>738</v>
      </c>
      <c r="E230" s="0" t="s">
        <v>17</v>
      </c>
      <c r="F230" s="0" t="s">
        <v>35</v>
      </c>
      <c r="G230" s="0" t="n">
        <v>39</v>
      </c>
      <c r="H230" s="0" t="s">
        <v>490</v>
      </c>
      <c r="I230" s="0" t="s">
        <v>20</v>
      </c>
      <c r="J230" s="0" t="n">
        <f aca="false">IF(I230=" ALARM",1,0)</f>
        <v>1</v>
      </c>
      <c r="K230" s="0" t="s">
        <v>20</v>
      </c>
      <c r="L230" s="0" t="n">
        <f aca="false">IF(K230=" ALARM",1,0)</f>
        <v>1</v>
      </c>
      <c r="M230" s="0" t="s">
        <v>20</v>
      </c>
      <c r="N230" s="0" t="n">
        <f aca="false">IF(M230=" ALARM",1,0)</f>
        <v>1</v>
      </c>
      <c r="O230" s="0" t="s">
        <v>739</v>
      </c>
      <c r="P230" s="0" t="s">
        <v>740</v>
      </c>
      <c r="Q230" s="0" t="s">
        <v>741</v>
      </c>
    </row>
    <row r="231" customFormat="false" ht="12.8" hidden="true" customHeight="false" outlineLevel="0" collapsed="false">
      <c r="A231" s="0" t="n">
        <v>491037</v>
      </c>
      <c r="B231" s="0" t="s">
        <v>742</v>
      </c>
      <c r="E231" s="0" t="s">
        <v>17</v>
      </c>
      <c r="F231" s="0" t="s">
        <v>35</v>
      </c>
      <c r="G231" s="0" t="n">
        <v>39</v>
      </c>
      <c r="H231" s="0" t="s">
        <v>490</v>
      </c>
      <c r="I231" s="0" t="s">
        <v>20</v>
      </c>
      <c r="J231" s="0" t="n">
        <f aca="false">IF(I231=" ALARM",1,0)</f>
        <v>1</v>
      </c>
      <c r="K231" s="0" t="s">
        <v>20</v>
      </c>
      <c r="L231" s="0" t="n">
        <f aca="false">IF(K231=" ALARM",1,0)</f>
        <v>1</v>
      </c>
      <c r="M231" s="0" t="s">
        <v>30</v>
      </c>
      <c r="N231" s="0" t="n">
        <f aca="false">IF(M231=" ALARM",1,0)</f>
        <v>0</v>
      </c>
      <c r="O231" s="0" t="s">
        <v>743</v>
      </c>
      <c r="P231" s="0" t="s">
        <v>744</v>
      </c>
      <c r="Q231" s="0" t="s">
        <v>745</v>
      </c>
    </row>
    <row r="232" customFormat="false" ht="12.8" hidden="true" customHeight="false" outlineLevel="0" collapsed="false">
      <c r="A232" s="0" t="n">
        <v>491054</v>
      </c>
      <c r="B232" s="0" t="s">
        <v>746</v>
      </c>
      <c r="E232" s="0" t="s">
        <v>17</v>
      </c>
      <c r="F232" s="0" t="s">
        <v>18</v>
      </c>
      <c r="G232" s="0" t="n">
        <v>39</v>
      </c>
      <c r="H232" s="0" t="s">
        <v>490</v>
      </c>
      <c r="I232" s="0" t="s">
        <v>20</v>
      </c>
      <c r="J232" s="0" t="n">
        <f aca="false">IF(I232=" ALARM",1,0)</f>
        <v>1</v>
      </c>
      <c r="K232" s="0" t="s">
        <v>20</v>
      </c>
      <c r="L232" s="0" t="n">
        <f aca="false">IF(K232=" ALARM",1,0)</f>
        <v>1</v>
      </c>
      <c r="M232" s="0" t="s">
        <v>21</v>
      </c>
      <c r="N232" s="0" t="n">
        <f aca="false">IF(M232=" ALARM",1,0)</f>
        <v>0</v>
      </c>
      <c r="O232" s="0" t="s">
        <v>747</v>
      </c>
      <c r="P232" s="0" t="s">
        <v>748</v>
      </c>
      <c r="Q232" s="0" t="s">
        <v>749</v>
      </c>
    </row>
    <row r="233" customFormat="false" ht="12.8" hidden="true" customHeight="false" outlineLevel="0" collapsed="false">
      <c r="A233" s="0" t="n">
        <v>709707</v>
      </c>
      <c r="B233" s="0" t="s">
        <v>750</v>
      </c>
      <c r="E233" s="0" t="s">
        <v>17</v>
      </c>
      <c r="F233" s="0" t="s">
        <v>35</v>
      </c>
      <c r="G233" s="0" t="n">
        <v>39</v>
      </c>
      <c r="H233" s="0" t="s">
        <v>490</v>
      </c>
      <c r="I233" s="0" t="s">
        <v>20</v>
      </c>
      <c r="J233" s="0" t="n">
        <f aca="false">IF(I233=" ALARM",1,0)</f>
        <v>1</v>
      </c>
      <c r="K233" s="0" t="s">
        <v>20</v>
      </c>
      <c r="L233" s="0" t="n">
        <f aca="false">IF(K233=" ALARM",1,0)</f>
        <v>1</v>
      </c>
      <c r="M233" s="0" t="s">
        <v>20</v>
      </c>
      <c r="N233" s="0" t="n">
        <f aca="false">IF(M233=" ALARM",1,0)</f>
        <v>1</v>
      </c>
      <c r="O233" s="0" t="s">
        <v>751</v>
      </c>
      <c r="P233" s="0" t="s">
        <v>752</v>
      </c>
      <c r="Q233" s="0" t="s">
        <v>753</v>
      </c>
    </row>
    <row r="234" customFormat="false" ht="12.8" hidden="true" customHeight="false" outlineLevel="0" collapsed="false">
      <c r="A234" s="0" t="n">
        <v>709704</v>
      </c>
      <c r="B234" s="0" t="s">
        <v>754</v>
      </c>
      <c r="E234" s="0" t="s">
        <v>17</v>
      </c>
      <c r="F234" s="0" t="s">
        <v>35</v>
      </c>
      <c r="G234" s="0" t="n">
        <v>39</v>
      </c>
      <c r="H234" s="0" t="s">
        <v>490</v>
      </c>
      <c r="I234" s="0" t="s">
        <v>20</v>
      </c>
      <c r="J234" s="0" t="n">
        <f aca="false">IF(I234=" ALARM",1,0)</f>
        <v>1</v>
      </c>
      <c r="K234" s="0" t="s">
        <v>20</v>
      </c>
      <c r="L234" s="0" t="n">
        <f aca="false">IF(K234=" ALARM",1,0)</f>
        <v>1</v>
      </c>
      <c r="M234" s="0" t="s">
        <v>20</v>
      </c>
      <c r="N234" s="0" t="n">
        <f aca="false">IF(M234=" ALARM",1,0)</f>
        <v>1</v>
      </c>
      <c r="O234" s="0" t="s">
        <v>755</v>
      </c>
      <c r="P234" s="0" t="s">
        <v>756</v>
      </c>
      <c r="Q234" s="0" t="s">
        <v>753</v>
      </c>
    </row>
    <row r="235" customFormat="false" ht="12.8" hidden="true" customHeight="false" outlineLevel="0" collapsed="false">
      <c r="A235" s="0" t="n">
        <v>709690</v>
      </c>
      <c r="B235" s="0" t="s">
        <v>757</v>
      </c>
      <c r="E235" s="0" t="s">
        <v>17</v>
      </c>
      <c r="F235" s="0" t="s">
        <v>35</v>
      </c>
      <c r="G235" s="0" t="n">
        <v>39</v>
      </c>
      <c r="H235" s="0" t="s">
        <v>490</v>
      </c>
      <c r="I235" s="0" t="s">
        <v>20</v>
      </c>
      <c r="J235" s="0" t="n">
        <f aca="false">IF(I235=" ALARM",1,0)</f>
        <v>1</v>
      </c>
      <c r="K235" s="0" t="s">
        <v>20</v>
      </c>
      <c r="L235" s="0" t="n">
        <f aca="false">IF(K235=" ALARM",1,0)</f>
        <v>1</v>
      </c>
      <c r="M235" s="0" t="s">
        <v>20</v>
      </c>
      <c r="N235" s="0" t="n">
        <f aca="false">IF(M235=" ALARM",1,0)</f>
        <v>1</v>
      </c>
      <c r="O235" s="0" t="s">
        <v>758</v>
      </c>
      <c r="P235" s="0" t="s">
        <v>759</v>
      </c>
      <c r="Q235" s="0" t="s">
        <v>753</v>
      </c>
    </row>
    <row r="236" customFormat="false" ht="12.8" hidden="true" customHeight="false" outlineLevel="0" collapsed="false">
      <c r="A236" s="0" t="n">
        <v>709683</v>
      </c>
      <c r="B236" s="0" t="s">
        <v>760</v>
      </c>
      <c r="E236" s="0" t="s">
        <v>17</v>
      </c>
      <c r="F236" s="0" t="s">
        <v>35</v>
      </c>
      <c r="G236" s="0" t="n">
        <v>39</v>
      </c>
      <c r="H236" s="0" t="s">
        <v>490</v>
      </c>
      <c r="I236" s="0" t="s">
        <v>20</v>
      </c>
      <c r="J236" s="0" t="n">
        <f aca="false">IF(I236=" ALARM",1,0)</f>
        <v>1</v>
      </c>
      <c r="K236" s="0" t="s">
        <v>20</v>
      </c>
      <c r="L236" s="0" t="n">
        <f aca="false">IF(K236=" ALARM",1,0)</f>
        <v>1</v>
      </c>
      <c r="M236" s="0" t="s">
        <v>20</v>
      </c>
      <c r="N236" s="0" t="n">
        <f aca="false">IF(M236=" ALARM",1,0)</f>
        <v>1</v>
      </c>
      <c r="O236" s="0" t="s">
        <v>761</v>
      </c>
      <c r="P236" s="0" t="s">
        <v>762</v>
      </c>
      <c r="Q236" s="0" t="s">
        <v>753</v>
      </c>
    </row>
    <row r="237" customFormat="false" ht="12.8" hidden="true" customHeight="false" outlineLevel="0" collapsed="false">
      <c r="A237" s="0" t="n">
        <v>709672</v>
      </c>
      <c r="B237" s="0" t="s">
        <v>763</v>
      </c>
      <c r="E237" s="0" t="s">
        <v>17</v>
      </c>
      <c r="F237" s="0" t="s">
        <v>35</v>
      </c>
      <c r="G237" s="0" t="n">
        <v>39</v>
      </c>
      <c r="H237" s="0" t="s">
        <v>490</v>
      </c>
      <c r="I237" s="0" t="s">
        <v>20</v>
      </c>
      <c r="J237" s="0" t="n">
        <f aca="false">IF(I237=" ALARM",1,0)</f>
        <v>1</v>
      </c>
      <c r="K237" s="0" t="s">
        <v>20</v>
      </c>
      <c r="L237" s="0" t="n">
        <f aca="false">IF(K237=" ALARM",1,0)</f>
        <v>1</v>
      </c>
      <c r="M237" s="0" t="s">
        <v>20</v>
      </c>
      <c r="N237" s="0" t="n">
        <f aca="false">IF(M237=" ALARM",1,0)</f>
        <v>1</v>
      </c>
      <c r="O237" s="0" t="s">
        <v>764</v>
      </c>
      <c r="P237" s="0" t="s">
        <v>765</v>
      </c>
      <c r="Q237" s="0" t="s">
        <v>753</v>
      </c>
    </row>
    <row r="238" customFormat="false" ht="12.8" hidden="true" customHeight="false" outlineLevel="0" collapsed="false">
      <c r="A238" s="0" t="n">
        <v>709666</v>
      </c>
      <c r="B238" s="0" t="s">
        <v>766</v>
      </c>
      <c r="E238" s="0" t="s">
        <v>17</v>
      </c>
      <c r="F238" s="0" t="s">
        <v>35</v>
      </c>
      <c r="G238" s="0" t="n">
        <v>39</v>
      </c>
      <c r="H238" s="0" t="s">
        <v>490</v>
      </c>
      <c r="I238" s="0" t="s">
        <v>20</v>
      </c>
      <c r="J238" s="0" t="n">
        <f aca="false">IF(I238=" ALARM",1,0)</f>
        <v>1</v>
      </c>
      <c r="K238" s="0" t="s">
        <v>20</v>
      </c>
      <c r="L238" s="0" t="n">
        <f aca="false">IF(K238=" ALARM",1,0)</f>
        <v>1</v>
      </c>
      <c r="M238" s="0" t="s">
        <v>20</v>
      </c>
      <c r="N238" s="0" t="n">
        <f aca="false">IF(M238=" ALARM",1,0)</f>
        <v>1</v>
      </c>
      <c r="O238" s="0" t="s">
        <v>767</v>
      </c>
      <c r="P238" s="0" t="s">
        <v>768</v>
      </c>
      <c r="Q238" s="0" t="s">
        <v>753</v>
      </c>
    </row>
    <row r="239" customFormat="false" ht="12.8" hidden="true" customHeight="false" outlineLevel="0" collapsed="false">
      <c r="A239" s="0" t="n">
        <v>508649</v>
      </c>
      <c r="B239" s="0" t="s">
        <v>769</v>
      </c>
      <c r="E239" s="0" t="s">
        <v>17</v>
      </c>
      <c r="F239" s="0" t="s">
        <v>35</v>
      </c>
      <c r="G239" s="0" t="n">
        <v>39</v>
      </c>
      <c r="H239" s="0" t="s">
        <v>490</v>
      </c>
      <c r="I239" s="0" t="s">
        <v>20</v>
      </c>
      <c r="J239" s="0" t="n">
        <f aca="false">IF(I239=" ALARM",1,0)</f>
        <v>1</v>
      </c>
      <c r="K239" s="0" t="s">
        <v>20</v>
      </c>
      <c r="L239" s="0" t="n">
        <f aca="false">IF(K239=" ALARM",1,0)</f>
        <v>1</v>
      </c>
      <c r="M239" s="0" t="s">
        <v>20</v>
      </c>
      <c r="N239" s="0" t="n">
        <f aca="false">IF(M239=" ALARM",1,0)</f>
        <v>1</v>
      </c>
      <c r="O239" s="0" t="s">
        <v>770</v>
      </c>
      <c r="P239" s="0" t="s">
        <v>771</v>
      </c>
      <c r="Q239" s="0" t="s">
        <v>772</v>
      </c>
    </row>
    <row r="240" customFormat="false" ht="12.8" hidden="true" customHeight="false" outlineLevel="0" collapsed="false">
      <c r="A240" s="0" t="n">
        <v>512552</v>
      </c>
      <c r="B240" s="0" t="s">
        <v>773</v>
      </c>
      <c r="E240" s="0" t="s">
        <v>17</v>
      </c>
      <c r="F240" s="0" t="s">
        <v>35</v>
      </c>
      <c r="G240" s="0" t="n">
        <v>733</v>
      </c>
      <c r="H240" s="0" t="s">
        <v>52</v>
      </c>
      <c r="I240" s="0" t="s">
        <v>20</v>
      </c>
      <c r="J240" s="0" t="n">
        <f aca="false">IF(I240=" ALARM",1,0)</f>
        <v>1</v>
      </c>
      <c r="K240" s="0" t="s">
        <v>20</v>
      </c>
      <c r="L240" s="0" t="n">
        <f aca="false">IF(K240=" ALARM",1,0)</f>
        <v>1</v>
      </c>
      <c r="M240" s="0" t="s">
        <v>20</v>
      </c>
      <c r="N240" s="0" t="n">
        <f aca="false">IF(M240=" ALARM",1,0)</f>
        <v>1</v>
      </c>
      <c r="O240" s="0" t="s">
        <v>774</v>
      </c>
      <c r="P240" s="0" t="s">
        <v>775</v>
      </c>
    </row>
    <row r="241" customFormat="false" ht="12.8" hidden="true" customHeight="false" outlineLevel="0" collapsed="false">
      <c r="A241" s="0" t="n">
        <v>512774</v>
      </c>
      <c r="B241" s="0" t="s">
        <v>776</v>
      </c>
      <c r="E241" s="0" t="s">
        <v>17</v>
      </c>
      <c r="F241" s="0" t="s">
        <v>35</v>
      </c>
      <c r="G241" s="0" t="n">
        <v>733</v>
      </c>
      <c r="H241" s="0" t="s">
        <v>52</v>
      </c>
      <c r="I241" s="0" t="s">
        <v>20</v>
      </c>
      <c r="J241" s="0" t="n">
        <f aca="false">IF(I241=" ALARM",1,0)</f>
        <v>1</v>
      </c>
      <c r="K241" s="0" t="s">
        <v>20</v>
      </c>
      <c r="L241" s="0" t="n">
        <f aca="false">IF(K241=" ALARM",1,0)</f>
        <v>1</v>
      </c>
      <c r="M241" s="0" t="s">
        <v>20</v>
      </c>
      <c r="N241" s="0" t="n">
        <f aca="false">IF(M241=" ALARM",1,0)</f>
        <v>1</v>
      </c>
      <c r="O241" s="0" t="s">
        <v>777</v>
      </c>
      <c r="P241" s="0" t="s">
        <v>778</v>
      </c>
    </row>
    <row r="242" customFormat="false" ht="12.8" hidden="true" customHeight="false" outlineLevel="0" collapsed="false">
      <c r="A242" s="0" t="n">
        <v>512134</v>
      </c>
      <c r="B242" s="0" t="s">
        <v>779</v>
      </c>
      <c r="E242" s="0" t="s">
        <v>17</v>
      </c>
      <c r="F242" s="0" t="s">
        <v>35</v>
      </c>
      <c r="G242" s="0" t="n">
        <v>1134</v>
      </c>
      <c r="H242" s="0" t="s">
        <v>52</v>
      </c>
      <c r="I242" s="0" t="s">
        <v>21</v>
      </c>
      <c r="J242" s="0" t="n">
        <f aca="false">IF(I242=" ALARM",1,0)</f>
        <v>0</v>
      </c>
      <c r="K242" s="0" t="s">
        <v>21</v>
      </c>
      <c r="L242" s="0" t="n">
        <f aca="false">IF(K242=" ALARM",1,0)</f>
        <v>0</v>
      </c>
      <c r="M242" s="0" t="s">
        <v>20</v>
      </c>
      <c r="N242" s="0" t="n">
        <f aca="false">IF(M242=" ALARM",1,0)</f>
        <v>1</v>
      </c>
      <c r="O242" s="0" t="s">
        <v>440</v>
      </c>
      <c r="P242" s="0" t="s">
        <v>440</v>
      </c>
      <c r="Q242" s="0" t="s">
        <v>780</v>
      </c>
    </row>
    <row r="243" customFormat="false" ht="12.8" hidden="true" customHeight="false" outlineLevel="0" collapsed="false">
      <c r="A243" s="0" t="n">
        <v>513331</v>
      </c>
      <c r="B243" s="0" t="s">
        <v>781</v>
      </c>
      <c r="E243" s="0" t="s">
        <v>17</v>
      </c>
      <c r="F243" s="0" t="s">
        <v>18</v>
      </c>
      <c r="G243" s="0" t="n">
        <v>39</v>
      </c>
      <c r="H243" s="0" t="s">
        <v>490</v>
      </c>
      <c r="I243" s="0" t="s">
        <v>20</v>
      </c>
      <c r="J243" s="0" t="n">
        <f aca="false">IF(I243=" ALARM",1,0)</f>
        <v>1</v>
      </c>
      <c r="K243" s="0" t="s">
        <v>20</v>
      </c>
      <c r="L243" s="0" t="n">
        <f aca="false">IF(K243=" ALARM",1,0)</f>
        <v>1</v>
      </c>
      <c r="M243" s="0" t="s">
        <v>20</v>
      </c>
      <c r="N243" s="0" t="n">
        <f aca="false">IF(M243=" ALARM",1,0)</f>
        <v>1</v>
      </c>
      <c r="O243" s="0" t="s">
        <v>782</v>
      </c>
      <c r="P243" s="0" t="s">
        <v>783</v>
      </c>
      <c r="Q243" s="0" t="s">
        <v>784</v>
      </c>
    </row>
    <row r="244" customFormat="false" ht="12.8" hidden="true" customHeight="false" outlineLevel="0" collapsed="false">
      <c r="A244" s="0" t="n">
        <v>513065</v>
      </c>
      <c r="B244" s="0" t="s">
        <v>785</v>
      </c>
      <c r="E244" s="0" t="s">
        <v>17</v>
      </c>
      <c r="F244" s="0" t="s">
        <v>35</v>
      </c>
      <c r="G244" s="0" t="n">
        <v>733</v>
      </c>
      <c r="H244" s="0" t="s">
        <v>52</v>
      </c>
      <c r="I244" s="0" t="s">
        <v>20</v>
      </c>
      <c r="J244" s="0" t="n">
        <f aca="false">IF(I244=" ALARM",1,0)</f>
        <v>1</v>
      </c>
      <c r="K244" s="0" t="s">
        <v>20</v>
      </c>
      <c r="L244" s="0" t="n">
        <f aca="false">IF(K244=" ALARM",1,0)</f>
        <v>1</v>
      </c>
      <c r="M244" s="0" t="s">
        <v>20</v>
      </c>
      <c r="N244" s="0" t="n">
        <f aca="false">IF(M244=" ALARM",1,0)</f>
        <v>1</v>
      </c>
      <c r="O244" s="0" t="s">
        <v>786</v>
      </c>
      <c r="P244" s="0" t="s">
        <v>787</v>
      </c>
    </row>
    <row r="245" customFormat="false" ht="12.8" hidden="true" customHeight="false" outlineLevel="0" collapsed="false">
      <c r="A245" s="0" t="n">
        <v>537129</v>
      </c>
      <c r="B245" s="0" t="s">
        <v>788</v>
      </c>
      <c r="E245" s="0" t="s">
        <v>17</v>
      </c>
      <c r="F245" s="0" t="s">
        <v>35</v>
      </c>
      <c r="G245" s="0" t="n">
        <v>39</v>
      </c>
      <c r="H245" s="0" t="s">
        <v>490</v>
      </c>
      <c r="I245" s="0" t="s">
        <v>20</v>
      </c>
      <c r="J245" s="0" t="n">
        <f aca="false">IF(I245=" ALARM",1,0)</f>
        <v>1</v>
      </c>
      <c r="K245" s="0" t="s">
        <v>20</v>
      </c>
      <c r="L245" s="0" t="n">
        <f aca="false">IF(K245=" ALARM",1,0)</f>
        <v>1</v>
      </c>
      <c r="M245" s="0" t="s">
        <v>20</v>
      </c>
      <c r="N245" s="0" t="n">
        <f aca="false">IF(M245=" ALARM",1,0)</f>
        <v>1</v>
      </c>
      <c r="O245" s="0" t="s">
        <v>789</v>
      </c>
      <c r="P245" s="0" t="s">
        <v>790</v>
      </c>
      <c r="Q245" s="0" t="s">
        <v>791</v>
      </c>
    </row>
    <row r="246" customFormat="false" ht="12.8" hidden="true" customHeight="false" outlineLevel="0" collapsed="false">
      <c r="A246" s="0" t="n">
        <v>537148</v>
      </c>
      <c r="B246" s="0" t="s">
        <v>792</v>
      </c>
      <c r="E246" s="0" t="s">
        <v>17</v>
      </c>
      <c r="F246" s="0" t="s">
        <v>35</v>
      </c>
      <c r="G246" s="0" t="n">
        <v>39</v>
      </c>
      <c r="H246" s="0" t="s">
        <v>490</v>
      </c>
      <c r="I246" s="0" t="s">
        <v>20</v>
      </c>
      <c r="J246" s="0" t="n">
        <f aca="false">IF(I246=" ALARM",1,0)</f>
        <v>1</v>
      </c>
      <c r="K246" s="0" t="s">
        <v>20</v>
      </c>
      <c r="L246" s="0" t="n">
        <f aca="false">IF(K246=" ALARM",1,0)</f>
        <v>1</v>
      </c>
      <c r="M246" s="0" t="s">
        <v>20</v>
      </c>
      <c r="N246" s="0" t="n">
        <f aca="false">IF(M246=" ALARM",1,0)</f>
        <v>1</v>
      </c>
      <c r="O246" s="0" t="s">
        <v>793</v>
      </c>
      <c r="P246" s="0" t="s">
        <v>794</v>
      </c>
      <c r="Q246" s="0" t="s">
        <v>791</v>
      </c>
    </row>
    <row r="247" customFormat="false" ht="12.8" hidden="true" customHeight="false" outlineLevel="0" collapsed="false">
      <c r="A247" s="0" t="n">
        <v>537159</v>
      </c>
      <c r="B247" s="0" t="s">
        <v>795</v>
      </c>
      <c r="E247" s="0" t="s">
        <v>17</v>
      </c>
      <c r="F247" s="0" t="s">
        <v>18</v>
      </c>
      <c r="G247" s="0" t="n">
        <v>39</v>
      </c>
      <c r="H247" s="0" t="s">
        <v>490</v>
      </c>
      <c r="I247" s="0" t="s">
        <v>20</v>
      </c>
      <c r="J247" s="0" t="n">
        <f aca="false">IF(I247=" ALARM",1,0)</f>
        <v>1</v>
      </c>
      <c r="K247" s="0" t="s">
        <v>20</v>
      </c>
      <c r="L247" s="0" t="n">
        <f aca="false">IF(K247=" ALARM",1,0)</f>
        <v>1</v>
      </c>
      <c r="M247" s="0" t="s">
        <v>20</v>
      </c>
      <c r="N247" s="0" t="n">
        <f aca="false">IF(M247=" ALARM",1,0)</f>
        <v>1</v>
      </c>
      <c r="O247" s="0" t="s">
        <v>796</v>
      </c>
      <c r="P247" s="0" t="s">
        <v>797</v>
      </c>
      <c r="Q247" s="0" t="s">
        <v>798</v>
      </c>
    </row>
    <row r="248" customFormat="false" ht="12.8" hidden="true" customHeight="false" outlineLevel="0" collapsed="false">
      <c r="A248" s="0" t="n">
        <v>561602</v>
      </c>
      <c r="B248" s="0" t="s">
        <v>799</v>
      </c>
      <c r="E248" s="0" t="s">
        <v>17</v>
      </c>
      <c r="F248" s="0" t="s">
        <v>35</v>
      </c>
      <c r="G248" s="0" t="n">
        <v>39</v>
      </c>
      <c r="H248" s="0" t="s">
        <v>490</v>
      </c>
      <c r="I248" s="0" t="s">
        <v>20</v>
      </c>
      <c r="J248" s="0" t="n">
        <f aca="false">IF(I248=" ALARM",1,0)</f>
        <v>1</v>
      </c>
      <c r="K248" s="0" t="s">
        <v>20</v>
      </c>
      <c r="L248" s="0" t="n">
        <f aca="false">IF(K248=" ALARM",1,0)</f>
        <v>1</v>
      </c>
      <c r="M248" s="0" t="s">
        <v>20</v>
      </c>
      <c r="N248" s="0" t="n">
        <f aca="false">IF(M248=" ALARM",1,0)</f>
        <v>1</v>
      </c>
      <c r="O248" s="0" t="s">
        <v>800</v>
      </c>
      <c r="P248" s="0" t="s">
        <v>801</v>
      </c>
      <c r="Q248" s="0" t="s">
        <v>701</v>
      </c>
    </row>
    <row r="249" customFormat="false" ht="12.8" hidden="true" customHeight="false" outlineLevel="0" collapsed="false">
      <c r="A249" s="0" t="n">
        <v>588755</v>
      </c>
      <c r="B249" s="0" t="s">
        <v>802</v>
      </c>
      <c r="E249" s="0" t="s">
        <v>17</v>
      </c>
      <c r="F249" s="0" t="s">
        <v>18</v>
      </c>
      <c r="G249" s="0" t="n">
        <v>1176</v>
      </c>
      <c r="H249" s="0" t="s">
        <v>52</v>
      </c>
      <c r="I249" s="0" t="s">
        <v>30</v>
      </c>
      <c r="J249" s="0" t="n">
        <f aca="false">IF(I249=" ALARM",1,0)</f>
        <v>0</v>
      </c>
      <c r="K249" s="0" t="s">
        <v>20</v>
      </c>
      <c r="L249" s="0" t="n">
        <f aca="false">IF(K249=" ALARM",1,0)</f>
        <v>1</v>
      </c>
      <c r="M249" s="0" t="s">
        <v>20</v>
      </c>
      <c r="N249" s="0" t="n">
        <f aca="false">IF(M249=" ALARM",1,0)</f>
        <v>1</v>
      </c>
      <c r="O249" s="0" t="s">
        <v>803</v>
      </c>
      <c r="P249" s="0" t="s">
        <v>804</v>
      </c>
      <c r="Q249" s="0" t="s">
        <v>666</v>
      </c>
    </row>
    <row r="250" customFormat="false" ht="12.8" hidden="true" customHeight="false" outlineLevel="0" collapsed="false">
      <c r="A250" s="0" t="n">
        <v>799837</v>
      </c>
      <c r="B250" s="0" t="s">
        <v>805</v>
      </c>
      <c r="E250" s="0" t="s">
        <v>17</v>
      </c>
      <c r="F250" s="0" t="s">
        <v>35</v>
      </c>
      <c r="G250" s="0" t="n">
        <v>39</v>
      </c>
      <c r="H250" s="0" t="s">
        <v>490</v>
      </c>
      <c r="I250" s="0" t="s">
        <v>20</v>
      </c>
      <c r="J250" s="0" t="n">
        <f aca="false">IF(I250=" ALARM",1,0)</f>
        <v>1</v>
      </c>
      <c r="K250" s="0" t="s">
        <v>20</v>
      </c>
      <c r="L250" s="0" t="n">
        <f aca="false">IF(K250=" ALARM",1,0)</f>
        <v>1</v>
      </c>
      <c r="M250" s="0" t="s">
        <v>30</v>
      </c>
      <c r="N250" s="0" t="n">
        <f aca="false">IF(M250=" ALARM",1,0)</f>
        <v>0</v>
      </c>
      <c r="O250" s="0" t="s">
        <v>806</v>
      </c>
      <c r="P250" s="0" t="s">
        <v>807</v>
      </c>
      <c r="Q250" s="0" t="s">
        <v>808</v>
      </c>
    </row>
    <row r="251" customFormat="false" ht="12.8" hidden="true" customHeight="false" outlineLevel="0" collapsed="false">
      <c r="A251" s="0" t="n">
        <v>791306</v>
      </c>
      <c r="B251" s="0" t="s">
        <v>809</v>
      </c>
      <c r="E251" s="0" t="s">
        <v>17</v>
      </c>
      <c r="F251" s="0" t="s">
        <v>35</v>
      </c>
      <c r="G251" s="0" t="n">
        <v>733</v>
      </c>
      <c r="H251" s="0" t="s">
        <v>52</v>
      </c>
      <c r="I251" s="0" t="s">
        <v>20</v>
      </c>
      <c r="J251" s="0" t="n">
        <f aca="false">IF(I251=" ALARM",1,0)</f>
        <v>1</v>
      </c>
      <c r="K251" s="0" t="s">
        <v>20</v>
      </c>
      <c r="L251" s="0" t="n">
        <f aca="false">IF(K251=" ALARM",1,0)</f>
        <v>1</v>
      </c>
      <c r="M251" s="0" t="s">
        <v>20</v>
      </c>
      <c r="N251" s="0" t="n">
        <f aca="false">IF(M251=" ALARM",1,0)</f>
        <v>1</v>
      </c>
      <c r="O251" s="0" t="s">
        <v>810</v>
      </c>
      <c r="P251" s="0" t="s">
        <v>811</v>
      </c>
    </row>
    <row r="252" customFormat="false" ht="12.8" hidden="true" customHeight="false" outlineLevel="0" collapsed="false">
      <c r="A252" s="0" t="n">
        <v>791503</v>
      </c>
      <c r="B252" s="0" t="s">
        <v>812</v>
      </c>
      <c r="E252" s="0" t="s">
        <v>17</v>
      </c>
      <c r="F252" s="0" t="s">
        <v>35</v>
      </c>
      <c r="G252" s="0" t="n">
        <v>733</v>
      </c>
      <c r="H252" s="0" t="s">
        <v>52</v>
      </c>
      <c r="I252" s="0" t="s">
        <v>20</v>
      </c>
      <c r="J252" s="0" t="n">
        <f aca="false">IF(I252=" ALARM",1,0)</f>
        <v>1</v>
      </c>
      <c r="K252" s="0" t="s">
        <v>20</v>
      </c>
      <c r="L252" s="0" t="n">
        <f aca="false">IF(K252=" ALARM",1,0)</f>
        <v>1</v>
      </c>
      <c r="M252" s="0" t="s">
        <v>20</v>
      </c>
      <c r="N252" s="0" t="n">
        <f aca="false">IF(M252=" ALARM",1,0)</f>
        <v>1</v>
      </c>
      <c r="O252" s="0" t="s">
        <v>813</v>
      </c>
      <c r="P252" s="0" t="s">
        <v>814</v>
      </c>
    </row>
    <row r="253" customFormat="false" ht="12.8" hidden="true" customHeight="false" outlineLevel="0" collapsed="false">
      <c r="A253" s="0" t="n">
        <v>791652</v>
      </c>
      <c r="B253" s="0" t="s">
        <v>815</v>
      </c>
      <c r="E253" s="0" t="s">
        <v>17</v>
      </c>
      <c r="F253" s="0" t="s">
        <v>35</v>
      </c>
      <c r="G253" s="0" t="n">
        <v>733</v>
      </c>
      <c r="H253" s="0" t="s">
        <v>52</v>
      </c>
      <c r="I253" s="0" t="s">
        <v>20</v>
      </c>
      <c r="J253" s="0" t="n">
        <f aca="false">IF(I253=" ALARM",1,0)</f>
        <v>1</v>
      </c>
      <c r="K253" s="0" t="s">
        <v>20</v>
      </c>
      <c r="L253" s="0" t="n">
        <f aca="false">IF(K253=" ALARM",1,0)</f>
        <v>1</v>
      </c>
      <c r="M253" s="0" t="s">
        <v>20</v>
      </c>
      <c r="N253" s="0" t="n">
        <f aca="false">IF(M253=" ALARM",1,0)</f>
        <v>1</v>
      </c>
      <c r="O253" s="0" t="s">
        <v>816</v>
      </c>
      <c r="P253" s="0" t="s">
        <v>817</v>
      </c>
    </row>
    <row r="254" customFormat="false" ht="12.8" hidden="true" customHeight="false" outlineLevel="0" collapsed="false">
      <c r="A254" s="0" t="n">
        <v>797574</v>
      </c>
      <c r="B254" s="0" t="s">
        <v>818</v>
      </c>
      <c r="E254" s="0" t="s">
        <v>17</v>
      </c>
      <c r="F254" s="0" t="s">
        <v>36</v>
      </c>
      <c r="G254" s="0" t="n">
        <v>1409</v>
      </c>
      <c r="H254" s="0" t="s">
        <v>52</v>
      </c>
      <c r="I254" s="0" t="s">
        <v>20</v>
      </c>
      <c r="J254" s="0" t="n">
        <f aca="false">IF(I254=" ALARM",1,0)</f>
        <v>1</v>
      </c>
      <c r="K254" s="0" t="s">
        <v>20</v>
      </c>
      <c r="L254" s="0" t="n">
        <f aca="false">IF(K254=" ALARM",1,0)</f>
        <v>1</v>
      </c>
      <c r="M254" s="0" t="s">
        <v>20</v>
      </c>
      <c r="N254" s="0" t="n">
        <f aca="false">IF(M254=" ALARM",1,0)</f>
        <v>1</v>
      </c>
      <c r="O254" s="0" t="s">
        <v>819</v>
      </c>
      <c r="P254" s="0" t="s">
        <v>820</v>
      </c>
      <c r="Q254" s="0" t="s">
        <v>821</v>
      </c>
    </row>
    <row r="255" customFormat="false" ht="12.8" hidden="true" customHeight="false" outlineLevel="0" collapsed="false">
      <c r="A255" s="0" t="n">
        <v>807023</v>
      </c>
      <c r="B255" s="0" t="s">
        <v>822</v>
      </c>
      <c r="E255" s="0" t="s">
        <v>17</v>
      </c>
      <c r="F255" s="0" t="s">
        <v>18</v>
      </c>
      <c r="G255" s="0" t="n">
        <v>1176</v>
      </c>
      <c r="H255" s="0" t="s">
        <v>52</v>
      </c>
      <c r="I255" s="0" t="s">
        <v>21</v>
      </c>
      <c r="J255" s="0" t="n">
        <f aca="false">IF(I255=" ALARM",1,0)</f>
        <v>0</v>
      </c>
      <c r="K255" s="0" t="s">
        <v>21</v>
      </c>
      <c r="L255" s="0" t="n">
        <f aca="false">IF(K255=" ALARM",1,0)</f>
        <v>0</v>
      </c>
      <c r="M255" s="0" t="s">
        <v>20</v>
      </c>
      <c r="N255" s="0" t="n">
        <f aca="false">IF(M255=" ALARM",1,0)</f>
        <v>1</v>
      </c>
      <c r="O255" s="0" t="s">
        <v>823</v>
      </c>
      <c r="P255" s="0" t="s">
        <v>823</v>
      </c>
    </row>
    <row r="256" customFormat="false" ht="12.8" hidden="true" customHeight="false" outlineLevel="0" collapsed="false">
      <c r="A256" s="0" t="n">
        <v>847486</v>
      </c>
      <c r="B256" s="0" t="s">
        <v>824</v>
      </c>
      <c r="E256" s="0" t="s">
        <v>17</v>
      </c>
      <c r="F256" s="0" t="s">
        <v>18</v>
      </c>
      <c r="G256" s="0" t="n">
        <v>1246</v>
      </c>
      <c r="H256" s="0" t="s">
        <v>52</v>
      </c>
      <c r="I256" s="0" t="s">
        <v>30</v>
      </c>
      <c r="J256" s="0" t="n">
        <f aca="false">IF(I256=" ALARM",1,0)</f>
        <v>0</v>
      </c>
      <c r="K256" s="0" t="s">
        <v>20</v>
      </c>
      <c r="L256" s="0" t="n">
        <f aca="false">IF(K256=" ALARM",1,0)</f>
        <v>1</v>
      </c>
      <c r="M256" s="0" t="s">
        <v>20</v>
      </c>
      <c r="N256" s="0" t="n">
        <f aca="false">IF(M256=" ALARM",1,0)</f>
        <v>1</v>
      </c>
      <c r="O256" s="0" t="s">
        <v>692</v>
      </c>
      <c r="P256" s="0" t="s">
        <v>825</v>
      </c>
    </row>
    <row r="257" customFormat="false" ht="12.8" hidden="true" customHeight="false" outlineLevel="0" collapsed="false">
      <c r="A257" s="0" t="n">
        <v>847541</v>
      </c>
      <c r="B257" s="0" t="s">
        <v>826</v>
      </c>
      <c r="E257" s="0" t="s">
        <v>17</v>
      </c>
      <c r="F257" s="0" t="s">
        <v>18</v>
      </c>
      <c r="G257" s="0" t="n">
        <v>1246</v>
      </c>
      <c r="H257" s="0" t="s">
        <v>52</v>
      </c>
      <c r="I257" s="0" t="s">
        <v>30</v>
      </c>
      <c r="J257" s="0" t="n">
        <f aca="false">IF(I257=" ALARM",1,0)</f>
        <v>0</v>
      </c>
      <c r="K257" s="0" t="s">
        <v>20</v>
      </c>
      <c r="L257" s="0" t="n">
        <f aca="false">IF(K257=" ALARM",1,0)</f>
        <v>1</v>
      </c>
      <c r="M257" s="0" t="s">
        <v>30</v>
      </c>
      <c r="N257" s="0" t="n">
        <f aca="false">IF(M257=" ALARM",1,0)</f>
        <v>0</v>
      </c>
      <c r="O257" s="0" t="s">
        <v>827</v>
      </c>
      <c r="P257" s="0" t="s">
        <v>828</v>
      </c>
    </row>
    <row r="258" customFormat="false" ht="12.8" hidden="true" customHeight="false" outlineLevel="0" collapsed="false">
      <c r="A258" s="0" t="n">
        <v>870676</v>
      </c>
      <c r="B258" s="0" t="s">
        <v>829</v>
      </c>
      <c r="E258" s="0" t="s">
        <v>17</v>
      </c>
      <c r="F258" s="0" t="s">
        <v>35</v>
      </c>
      <c r="G258" s="0" t="n">
        <v>39</v>
      </c>
      <c r="H258" s="0" t="s">
        <v>490</v>
      </c>
      <c r="I258" s="0" t="s">
        <v>20</v>
      </c>
      <c r="J258" s="0" t="n">
        <f aca="false">IF(I258=" ALARM",1,0)</f>
        <v>1</v>
      </c>
      <c r="K258" s="0" t="s">
        <v>20</v>
      </c>
      <c r="L258" s="0" t="n">
        <f aca="false">IF(K258=" ALARM",1,0)</f>
        <v>1</v>
      </c>
      <c r="M258" s="0" t="s">
        <v>20</v>
      </c>
      <c r="N258" s="0" t="n">
        <f aca="false">IF(M258=" ALARM",1,0)</f>
        <v>1</v>
      </c>
      <c r="O258" s="0" t="s">
        <v>830</v>
      </c>
      <c r="P258" s="0" t="s">
        <v>831</v>
      </c>
      <c r="Q258" s="0" t="s">
        <v>832</v>
      </c>
    </row>
    <row r="259" customFormat="false" ht="12.8" hidden="true" customHeight="false" outlineLevel="0" collapsed="false">
      <c r="A259" s="0" t="n">
        <v>862324</v>
      </c>
      <c r="B259" s="0" t="s">
        <v>833</v>
      </c>
      <c r="E259" s="0" t="s">
        <v>17</v>
      </c>
      <c r="F259" s="0" t="s">
        <v>35</v>
      </c>
      <c r="G259" s="0" t="n">
        <v>1422</v>
      </c>
      <c r="H259" s="0" t="s">
        <v>52</v>
      </c>
      <c r="I259" s="0" t="s">
        <v>20</v>
      </c>
      <c r="J259" s="0" t="n">
        <f aca="false">IF(I259=" ALARM",1,0)</f>
        <v>1</v>
      </c>
      <c r="K259" s="0" t="s">
        <v>20</v>
      </c>
      <c r="L259" s="0" t="n">
        <f aca="false">IF(K259=" ALARM",1,0)</f>
        <v>1</v>
      </c>
      <c r="M259" s="0" t="s">
        <v>30</v>
      </c>
      <c r="N259" s="0" t="n">
        <f aca="false">IF(M259=" ALARM",1,0)</f>
        <v>0</v>
      </c>
      <c r="O259" s="0" t="s">
        <v>834</v>
      </c>
      <c r="P259" s="0" t="s">
        <v>835</v>
      </c>
    </row>
    <row r="260" customFormat="false" ht="12.8" hidden="true" customHeight="false" outlineLevel="0" collapsed="false">
      <c r="A260" s="0" t="n">
        <v>862325</v>
      </c>
      <c r="B260" s="0" t="s">
        <v>836</v>
      </c>
      <c r="E260" s="0" t="s">
        <v>17</v>
      </c>
      <c r="F260" s="0" t="s">
        <v>35</v>
      </c>
      <c r="G260" s="0" t="n">
        <v>1422</v>
      </c>
      <c r="H260" s="0" t="s">
        <v>52</v>
      </c>
      <c r="I260" s="0" t="s">
        <v>20</v>
      </c>
      <c r="J260" s="0" t="n">
        <f aca="false">IF(I260=" ALARM",1,0)</f>
        <v>1</v>
      </c>
      <c r="K260" s="0" t="s">
        <v>20</v>
      </c>
      <c r="L260" s="0" t="n">
        <f aca="false">IF(K260=" ALARM",1,0)</f>
        <v>1</v>
      </c>
      <c r="M260" s="0" t="s">
        <v>30</v>
      </c>
      <c r="N260" s="0" t="n">
        <f aca="false">IF(M260=" ALARM",1,0)</f>
        <v>0</v>
      </c>
      <c r="O260" s="0" t="s">
        <v>837</v>
      </c>
      <c r="P260" s="0" t="s">
        <v>838</v>
      </c>
    </row>
    <row r="261" customFormat="false" ht="12.8" hidden="true" customHeight="false" outlineLevel="0" collapsed="false">
      <c r="A261" s="0" t="n">
        <v>862327</v>
      </c>
      <c r="B261" s="0" t="s">
        <v>839</v>
      </c>
      <c r="E261" s="0" t="s">
        <v>17</v>
      </c>
      <c r="F261" s="0" t="s">
        <v>35</v>
      </c>
      <c r="G261" s="0" t="n">
        <v>1422</v>
      </c>
      <c r="H261" s="0" t="s">
        <v>52</v>
      </c>
      <c r="I261" s="0" t="s">
        <v>21</v>
      </c>
      <c r="J261" s="0" t="n">
        <f aca="false">IF(I261=" ALARM",1,0)</f>
        <v>0</v>
      </c>
      <c r="K261" s="0" t="s">
        <v>20</v>
      </c>
      <c r="L261" s="0" t="n">
        <f aca="false">IF(K261=" ALARM",1,0)</f>
        <v>1</v>
      </c>
      <c r="M261" s="0" t="s">
        <v>30</v>
      </c>
      <c r="N261" s="0" t="n">
        <f aca="false">IF(M261=" ALARM",1,0)</f>
        <v>0</v>
      </c>
      <c r="O261" s="0" t="s">
        <v>840</v>
      </c>
      <c r="P261" s="0" t="s">
        <v>841</v>
      </c>
    </row>
    <row r="262" customFormat="false" ht="12.8" hidden="true" customHeight="false" outlineLevel="0" collapsed="false">
      <c r="A262" s="0" t="n">
        <v>862329</v>
      </c>
      <c r="B262" s="0" t="s">
        <v>842</v>
      </c>
      <c r="E262" s="0" t="s">
        <v>17</v>
      </c>
      <c r="F262" s="0" t="s">
        <v>35</v>
      </c>
      <c r="G262" s="0" t="n">
        <v>1422</v>
      </c>
      <c r="H262" s="0" t="s">
        <v>52</v>
      </c>
      <c r="I262" s="0" t="s">
        <v>20</v>
      </c>
      <c r="J262" s="0" t="n">
        <f aca="false">IF(I262=" ALARM",1,0)</f>
        <v>1</v>
      </c>
      <c r="K262" s="0" t="s">
        <v>20</v>
      </c>
      <c r="L262" s="0" t="n">
        <f aca="false">IF(K262=" ALARM",1,0)</f>
        <v>1</v>
      </c>
      <c r="M262" s="0" t="s">
        <v>20</v>
      </c>
      <c r="N262" s="0" t="n">
        <f aca="false">IF(M262=" ALARM",1,0)</f>
        <v>1</v>
      </c>
      <c r="O262" s="0" t="s">
        <v>843</v>
      </c>
      <c r="P262" s="0" t="s">
        <v>844</v>
      </c>
    </row>
    <row r="263" customFormat="false" ht="12.8" hidden="true" customHeight="false" outlineLevel="0" collapsed="false">
      <c r="A263" s="0" t="n">
        <v>862332</v>
      </c>
      <c r="B263" s="0" t="s">
        <v>845</v>
      </c>
      <c r="E263" s="0" t="s">
        <v>17</v>
      </c>
      <c r="F263" s="0" t="s">
        <v>35</v>
      </c>
      <c r="G263" s="0" t="n">
        <v>1422</v>
      </c>
      <c r="H263" s="0" t="s">
        <v>52</v>
      </c>
      <c r="I263" s="0" t="s">
        <v>21</v>
      </c>
      <c r="J263" s="0" t="n">
        <f aca="false">IF(I263=" ALARM",1,0)</f>
        <v>0</v>
      </c>
      <c r="K263" s="0" t="s">
        <v>20</v>
      </c>
      <c r="L263" s="0" t="n">
        <f aca="false">IF(K263=" ALARM",1,0)</f>
        <v>1</v>
      </c>
      <c r="M263" s="0" t="s">
        <v>30</v>
      </c>
      <c r="N263" s="0" t="n">
        <f aca="false">IF(M263=" ALARM",1,0)</f>
        <v>0</v>
      </c>
      <c r="O263" s="0" t="s">
        <v>440</v>
      </c>
      <c r="P263" s="0" t="s">
        <v>846</v>
      </c>
    </row>
    <row r="264" customFormat="false" ht="12.8" hidden="true" customHeight="false" outlineLevel="0" collapsed="false">
      <c r="A264" s="0" t="n">
        <v>914149</v>
      </c>
      <c r="B264" s="0" t="s">
        <v>847</v>
      </c>
      <c r="E264" s="0" t="s">
        <v>17</v>
      </c>
      <c r="F264" s="0" t="s">
        <v>18</v>
      </c>
      <c r="G264" s="0" t="n">
        <v>39</v>
      </c>
      <c r="H264" s="0" t="s">
        <v>490</v>
      </c>
      <c r="I264" s="0" t="s">
        <v>20</v>
      </c>
      <c r="J264" s="0" t="n">
        <f aca="false">IF(I264=" ALARM",1,0)</f>
        <v>1</v>
      </c>
      <c r="K264" s="0" t="s">
        <v>20</v>
      </c>
      <c r="L264" s="0" t="n">
        <f aca="false">IF(K264=" ALARM",1,0)</f>
        <v>1</v>
      </c>
      <c r="M264" s="0" t="s">
        <v>20</v>
      </c>
      <c r="N264" s="0" t="n">
        <f aca="false">IF(M264=" ALARM",1,0)</f>
        <v>1</v>
      </c>
      <c r="O264" s="0" t="s">
        <v>848</v>
      </c>
      <c r="P264" s="0" t="s">
        <v>849</v>
      </c>
      <c r="Q264" s="0" t="s">
        <v>476</v>
      </c>
    </row>
    <row r="265" customFormat="false" ht="12.8" hidden="false" customHeight="false" outlineLevel="0" collapsed="false">
      <c r="A265" s="0" t="n">
        <v>915999</v>
      </c>
      <c r="B265" s="0" t="s">
        <v>850</v>
      </c>
      <c r="E265" s="0" t="s">
        <v>17</v>
      </c>
      <c r="F265" s="0" t="s">
        <v>35</v>
      </c>
      <c r="G265" s="0" t="n">
        <v>39</v>
      </c>
      <c r="H265" s="0" t="s">
        <v>490</v>
      </c>
      <c r="I265" s="0" t="s">
        <v>20</v>
      </c>
      <c r="J265" s="0" t="n">
        <f aca="false">IF(I265=" ALARM",1,0)</f>
        <v>1</v>
      </c>
      <c r="K265" s="0" t="s">
        <v>20</v>
      </c>
      <c r="L265" s="0" t="n">
        <f aca="false">IF(K265=" ALARM",1,0)</f>
        <v>1</v>
      </c>
      <c r="M265" s="0" t="s">
        <v>20</v>
      </c>
      <c r="N265" s="0" t="n">
        <f aca="false">IF(M265=" ALARM",1,0)</f>
        <v>1</v>
      </c>
      <c r="O265" s="0" t="s">
        <v>851</v>
      </c>
      <c r="P265" s="0" t="s">
        <v>852</v>
      </c>
      <c r="Q265" s="0" t="s">
        <v>670</v>
      </c>
    </row>
    <row r="266" customFormat="false" ht="12.8" hidden="false" customHeight="false" outlineLevel="0" collapsed="false">
      <c r="A266" s="0" t="n">
        <v>1012735</v>
      </c>
      <c r="B266" s="0" t="s">
        <v>853</v>
      </c>
      <c r="E266" s="0" t="s">
        <v>17</v>
      </c>
      <c r="F266" s="0" t="s">
        <v>35</v>
      </c>
      <c r="G266" s="0" t="n">
        <v>39</v>
      </c>
      <c r="H266" s="0" t="s">
        <v>490</v>
      </c>
      <c r="I266" s="0" t="s">
        <v>20</v>
      </c>
      <c r="J266" s="0" t="n">
        <f aca="false">IF(I266=" ALARM",1,0)</f>
        <v>1</v>
      </c>
      <c r="K266" s="0" t="s">
        <v>20</v>
      </c>
      <c r="L266" s="0" t="n">
        <f aca="false">IF(K266=" ALARM",1,0)</f>
        <v>1</v>
      </c>
      <c r="M266" s="0" t="s">
        <v>20</v>
      </c>
      <c r="N266" s="0" t="n">
        <f aca="false">IF(M266=" ALARM",1,0)</f>
        <v>1</v>
      </c>
      <c r="O266" s="0" t="s">
        <v>854</v>
      </c>
      <c r="P266" s="0" t="s">
        <v>855</v>
      </c>
      <c r="Q266" s="0" t="s">
        <v>670</v>
      </c>
    </row>
    <row r="267" customFormat="false" ht="12.8" hidden="true" customHeight="false" outlineLevel="0" collapsed="false">
      <c r="A267" s="0" t="n">
        <v>1000456</v>
      </c>
      <c r="B267" s="0" t="s">
        <v>856</v>
      </c>
      <c r="E267" s="0" t="s">
        <v>17</v>
      </c>
      <c r="F267" s="0" t="s">
        <v>18</v>
      </c>
      <c r="G267" s="0" t="n">
        <v>1246</v>
      </c>
      <c r="H267" s="0" t="s">
        <v>52</v>
      </c>
      <c r="I267" s="0" t="s">
        <v>21</v>
      </c>
      <c r="J267" s="0" t="n">
        <f aca="false">IF(I267=" ALARM",1,0)</f>
        <v>0</v>
      </c>
      <c r="K267" s="0" t="s">
        <v>20</v>
      </c>
      <c r="L267" s="0" t="n">
        <f aca="false">IF(K267=" ALARM",1,0)</f>
        <v>1</v>
      </c>
      <c r="M267" s="0" t="s">
        <v>20</v>
      </c>
      <c r="N267" s="0" t="n">
        <f aca="false">IF(M267=" ALARM",1,0)</f>
        <v>1</v>
      </c>
      <c r="O267" s="0" t="s">
        <v>440</v>
      </c>
      <c r="P267" s="0" t="s">
        <v>857</v>
      </c>
    </row>
    <row r="268" customFormat="false" ht="12.8" hidden="true" customHeight="false" outlineLevel="0" collapsed="false">
      <c r="A268" s="0" t="n">
        <v>1004454</v>
      </c>
      <c r="B268" s="0" t="s">
        <v>858</v>
      </c>
      <c r="E268" s="0" t="s">
        <v>17</v>
      </c>
      <c r="F268" s="0" t="s">
        <v>97</v>
      </c>
      <c r="G268" s="0" t="n">
        <v>1409</v>
      </c>
      <c r="H268" s="0" t="s">
        <v>52</v>
      </c>
      <c r="I268" s="0" t="s">
        <v>20</v>
      </c>
      <c r="J268" s="0" t="n">
        <f aca="false">IF(I268=" ALARM",1,0)</f>
        <v>1</v>
      </c>
      <c r="K268" s="0" t="s">
        <v>20</v>
      </c>
      <c r="L268" s="0" t="n">
        <f aca="false">IF(K268=" ALARM",1,0)</f>
        <v>1</v>
      </c>
      <c r="M268" s="0" t="s">
        <v>20</v>
      </c>
      <c r="N268" s="0" t="n">
        <f aca="false">IF(M268=" ALARM",1,0)</f>
        <v>1</v>
      </c>
      <c r="O268" s="0" t="s">
        <v>859</v>
      </c>
      <c r="P268" s="0" t="s">
        <v>860</v>
      </c>
      <c r="Q268" s="0" t="s">
        <v>861</v>
      </c>
    </row>
    <row r="269" customFormat="false" ht="12.8" hidden="true" customHeight="false" outlineLevel="0" collapsed="false">
      <c r="A269" s="0" t="n">
        <v>1025569</v>
      </c>
      <c r="B269" s="0" t="s">
        <v>862</v>
      </c>
      <c r="E269" s="0" t="s">
        <v>17</v>
      </c>
      <c r="F269" s="0" t="s">
        <v>97</v>
      </c>
      <c r="G269" s="0" t="n">
        <v>1409</v>
      </c>
      <c r="H269" s="0" t="s">
        <v>52</v>
      </c>
      <c r="I269" s="0" t="s">
        <v>20</v>
      </c>
      <c r="J269" s="0" t="n">
        <f aca="false">IF(I269=" ALARM",1,0)</f>
        <v>1</v>
      </c>
      <c r="K269" s="0" t="s">
        <v>20</v>
      </c>
      <c r="L269" s="0" t="n">
        <f aca="false">IF(K269=" ALARM",1,0)</f>
        <v>1</v>
      </c>
      <c r="M269" s="0" t="s">
        <v>30</v>
      </c>
      <c r="N269" s="0" t="n">
        <f aca="false">IF(M269=" ALARM",1,0)</f>
        <v>0</v>
      </c>
      <c r="O269" s="0" t="s">
        <v>863</v>
      </c>
      <c r="P269" s="0" t="s">
        <v>864</v>
      </c>
    </row>
    <row r="270" customFormat="false" ht="12.8" hidden="true" customHeight="false" outlineLevel="0" collapsed="false">
      <c r="A270" s="0" t="n">
        <v>1025574</v>
      </c>
      <c r="B270" s="0" t="s">
        <v>865</v>
      </c>
      <c r="E270" s="0" t="s">
        <v>17</v>
      </c>
      <c r="F270" s="0" t="s">
        <v>97</v>
      </c>
      <c r="G270" s="0" t="n">
        <v>1409</v>
      </c>
      <c r="H270" s="0" t="s">
        <v>52</v>
      </c>
      <c r="I270" s="0" t="s">
        <v>21</v>
      </c>
      <c r="J270" s="0" t="n">
        <f aca="false">IF(I270=" ALARM",1,0)</f>
        <v>0</v>
      </c>
      <c r="K270" s="0" t="s">
        <v>21</v>
      </c>
      <c r="L270" s="0" t="n">
        <f aca="false">IF(K270=" ALARM",1,0)</f>
        <v>0</v>
      </c>
      <c r="M270" s="0" t="s">
        <v>30</v>
      </c>
      <c r="N270" s="0" t="n">
        <f aca="false">IF(M270=" ALARM",1,0)</f>
        <v>0</v>
      </c>
      <c r="O270" s="0" t="s">
        <v>866</v>
      </c>
      <c r="P270" s="0" t="s">
        <v>866</v>
      </c>
    </row>
    <row r="271" customFormat="false" ht="12.8" hidden="true" customHeight="false" outlineLevel="0" collapsed="false">
      <c r="A271" s="0" t="n">
        <v>1094990</v>
      </c>
      <c r="B271" s="0" t="s">
        <v>867</v>
      </c>
      <c r="E271" s="0" t="s">
        <v>17</v>
      </c>
      <c r="F271" s="0" t="s">
        <v>18</v>
      </c>
      <c r="G271" s="0" t="n">
        <v>39</v>
      </c>
      <c r="H271" s="0" t="s">
        <v>490</v>
      </c>
      <c r="I271" s="0" t="s">
        <v>21</v>
      </c>
      <c r="J271" s="0" t="n">
        <f aca="false">IF(I271=" ALARM",1,0)</f>
        <v>0</v>
      </c>
      <c r="K271" s="0" t="s">
        <v>20</v>
      </c>
      <c r="L271" s="0" t="n">
        <f aca="false">IF(K271=" ALARM",1,0)</f>
        <v>1</v>
      </c>
      <c r="M271" s="0" t="s">
        <v>20</v>
      </c>
      <c r="N271" s="0" t="n">
        <f aca="false">IF(M271=" ALARM",1,0)</f>
        <v>1</v>
      </c>
      <c r="O271" s="0" t="s">
        <v>868</v>
      </c>
      <c r="P271" s="0" t="s">
        <v>869</v>
      </c>
      <c r="Q271" s="0" t="s">
        <v>870</v>
      </c>
    </row>
    <row r="272" customFormat="false" ht="12.8" hidden="false" customHeight="false" outlineLevel="0" collapsed="false">
      <c r="A272" s="0" t="n">
        <v>1144134</v>
      </c>
      <c r="B272" s="0" t="s">
        <v>871</v>
      </c>
      <c r="E272" s="0" t="s">
        <v>17</v>
      </c>
      <c r="F272" s="0" t="s">
        <v>35</v>
      </c>
      <c r="G272" s="0" t="n">
        <v>39</v>
      </c>
      <c r="H272" s="0" t="s">
        <v>490</v>
      </c>
      <c r="I272" s="0" t="s">
        <v>20</v>
      </c>
      <c r="J272" s="0" t="n">
        <f aca="false">IF(I272=" ALARM",1,0)</f>
        <v>1</v>
      </c>
      <c r="K272" s="0" t="s">
        <v>20</v>
      </c>
      <c r="L272" s="0" t="n">
        <f aca="false">IF(K272=" ALARM",1,0)</f>
        <v>1</v>
      </c>
      <c r="M272" s="0" t="s">
        <v>20</v>
      </c>
      <c r="N272" s="0" t="n">
        <f aca="false">IF(M272=" ALARM",1,0)</f>
        <v>1</v>
      </c>
      <c r="O272" s="0" t="s">
        <v>872</v>
      </c>
      <c r="P272" s="0" t="s">
        <v>873</v>
      </c>
      <c r="Q272" s="0" t="s">
        <v>874</v>
      </c>
    </row>
    <row r="273" customFormat="false" ht="12.8" hidden="false" customHeight="false" outlineLevel="0" collapsed="false">
      <c r="A273" s="0" t="n">
        <v>1144146</v>
      </c>
      <c r="B273" s="0" t="s">
        <v>875</v>
      </c>
      <c r="E273" s="0" t="s">
        <v>17</v>
      </c>
      <c r="F273" s="0" t="s">
        <v>35</v>
      </c>
      <c r="G273" s="0" t="n">
        <v>39</v>
      </c>
      <c r="H273" s="0" t="s">
        <v>490</v>
      </c>
      <c r="I273" s="0" t="s">
        <v>20</v>
      </c>
      <c r="J273" s="0" t="n">
        <f aca="false">IF(I273=" ALARM",1,0)</f>
        <v>1</v>
      </c>
      <c r="K273" s="0" t="s">
        <v>20</v>
      </c>
      <c r="L273" s="0" t="n">
        <f aca="false">IF(K273=" ALARM",1,0)</f>
        <v>1</v>
      </c>
      <c r="M273" s="0" t="s">
        <v>20</v>
      </c>
      <c r="N273" s="0" t="n">
        <f aca="false">IF(M273=" ALARM",1,0)</f>
        <v>1</v>
      </c>
      <c r="O273" s="0" t="s">
        <v>876</v>
      </c>
      <c r="P273" s="0" t="s">
        <v>877</v>
      </c>
      <c r="Q273" s="0" t="s">
        <v>874</v>
      </c>
    </row>
    <row r="274" customFormat="false" ht="12.8" hidden="false" customHeight="false" outlineLevel="0" collapsed="false">
      <c r="A274" s="0" t="n">
        <v>1129955</v>
      </c>
      <c r="B274" s="0" t="s">
        <v>878</v>
      </c>
      <c r="E274" s="0" t="s">
        <v>17</v>
      </c>
      <c r="F274" s="0" t="s">
        <v>35</v>
      </c>
      <c r="G274" s="0" t="n">
        <v>1246</v>
      </c>
      <c r="H274" s="0" t="s">
        <v>52</v>
      </c>
      <c r="I274" s="0" t="s">
        <v>21</v>
      </c>
      <c r="J274" s="0" t="n">
        <f aca="false">IF(I274=" ALARM",1,0)</f>
        <v>0</v>
      </c>
      <c r="K274" s="0" t="s">
        <v>21</v>
      </c>
      <c r="L274" s="0" t="n">
        <f aca="false">IF(K274=" ALARM",1,0)</f>
        <v>0</v>
      </c>
      <c r="M274" s="0" t="s">
        <v>20</v>
      </c>
      <c r="N274" s="0" t="n">
        <f aca="false">IF(M274=" ALARM",1,0)</f>
        <v>1</v>
      </c>
      <c r="O274" s="0" t="s">
        <v>440</v>
      </c>
      <c r="P274" s="0" t="s">
        <v>440</v>
      </c>
    </row>
    <row r="275" customFormat="false" ht="12.8" hidden="false" customHeight="false" outlineLevel="0" collapsed="false">
      <c r="A275" s="0" t="n">
        <v>1167361</v>
      </c>
      <c r="B275" s="0" t="s">
        <v>879</v>
      </c>
      <c r="E275" s="0" t="s">
        <v>17</v>
      </c>
      <c r="F275" s="0" t="s">
        <v>35</v>
      </c>
      <c r="G275" s="0" t="n">
        <v>39</v>
      </c>
      <c r="H275" s="0" t="s">
        <v>490</v>
      </c>
      <c r="I275" s="0" t="s">
        <v>20</v>
      </c>
      <c r="J275" s="0" t="n">
        <f aca="false">IF(I275=" ALARM",1,0)</f>
        <v>1</v>
      </c>
      <c r="K275" s="0" t="s">
        <v>20</v>
      </c>
      <c r="L275" s="0" t="n">
        <f aca="false">IF(K275=" ALARM",1,0)</f>
        <v>1</v>
      </c>
      <c r="M275" s="0" t="s">
        <v>20</v>
      </c>
      <c r="N275" s="0" t="n">
        <f aca="false">IF(M275=" ALARM",1,0)</f>
        <v>1</v>
      </c>
      <c r="O275" s="0" t="s">
        <v>880</v>
      </c>
      <c r="P275" s="0" t="s">
        <v>881</v>
      </c>
      <c r="Q275" s="0" t="s">
        <v>882</v>
      </c>
    </row>
    <row r="276" customFormat="false" ht="12.8" hidden="false" customHeight="false" outlineLevel="0" collapsed="false">
      <c r="A276" s="0" t="n">
        <v>1167367</v>
      </c>
      <c r="B276" s="0" t="s">
        <v>883</v>
      </c>
      <c r="E276" s="0" t="s">
        <v>17</v>
      </c>
      <c r="F276" s="0" t="s">
        <v>35</v>
      </c>
      <c r="G276" s="0" t="n">
        <v>39</v>
      </c>
      <c r="H276" s="0" t="s">
        <v>490</v>
      </c>
      <c r="I276" s="0" t="s">
        <v>20</v>
      </c>
      <c r="J276" s="0" t="n">
        <f aca="false">IF(I276=" ALARM",1,0)</f>
        <v>1</v>
      </c>
      <c r="K276" s="0" t="s">
        <v>20</v>
      </c>
      <c r="L276" s="0" t="n">
        <f aca="false">IF(K276=" ALARM",1,0)</f>
        <v>1</v>
      </c>
      <c r="M276" s="0" t="s">
        <v>20</v>
      </c>
      <c r="N276" s="0" t="n">
        <f aca="false">IF(M276=" ALARM",1,0)</f>
        <v>1</v>
      </c>
      <c r="O276" s="0" t="s">
        <v>884</v>
      </c>
      <c r="P276" s="0" t="s">
        <v>885</v>
      </c>
      <c r="Q276" s="0" t="s">
        <v>882</v>
      </c>
    </row>
    <row r="277" customFormat="false" ht="12.8" hidden="true" customHeight="false" outlineLevel="0" collapsed="false">
      <c r="A277" s="0" t="n">
        <v>1146148</v>
      </c>
      <c r="B277" s="0" t="s">
        <v>886</v>
      </c>
      <c r="E277" s="0" t="s">
        <v>17</v>
      </c>
      <c r="F277" s="0" t="s">
        <v>97</v>
      </c>
      <c r="G277" s="0" t="n">
        <v>1176</v>
      </c>
      <c r="H277" s="0" t="s">
        <v>52</v>
      </c>
      <c r="I277" s="0" t="s">
        <v>21</v>
      </c>
      <c r="J277" s="0" t="n">
        <f aca="false">IF(I277=" ALARM",1,0)</f>
        <v>0</v>
      </c>
      <c r="K277" s="0" t="s">
        <v>21</v>
      </c>
      <c r="L277" s="0" t="n">
        <f aca="false">IF(K277=" ALARM",1,0)</f>
        <v>0</v>
      </c>
      <c r="M277" s="0" t="s">
        <v>21</v>
      </c>
      <c r="N277" s="0" t="n">
        <f aca="false">IF(M277=" ALARM",1,0)</f>
        <v>0</v>
      </c>
      <c r="O277" s="0" t="s">
        <v>887</v>
      </c>
      <c r="P277" s="0" t="s">
        <v>887</v>
      </c>
      <c r="Q277" s="0" t="s">
        <v>888</v>
      </c>
    </row>
    <row r="278" customFormat="false" ht="12.8" hidden="false" customHeight="false" outlineLevel="0" collapsed="false">
      <c r="A278" s="0" t="n">
        <v>1151828</v>
      </c>
      <c r="B278" s="0" t="s">
        <v>889</v>
      </c>
      <c r="E278" s="0" t="s">
        <v>17</v>
      </c>
      <c r="F278" s="0" t="s">
        <v>35</v>
      </c>
      <c r="G278" s="0" t="n">
        <v>1422</v>
      </c>
      <c r="H278" s="0" t="s">
        <v>52</v>
      </c>
      <c r="I278" s="0" t="s">
        <v>30</v>
      </c>
      <c r="J278" s="0" t="n">
        <f aca="false">IF(I278=" ALARM",1,0)</f>
        <v>0</v>
      </c>
      <c r="K278" s="0" t="s">
        <v>20</v>
      </c>
      <c r="L278" s="0" t="n">
        <f aca="false">IF(K278=" ALARM",1,0)</f>
        <v>1</v>
      </c>
      <c r="M278" s="0" t="s">
        <v>20</v>
      </c>
      <c r="N278" s="0" t="n">
        <f aca="false">IF(M278=" ALARM",1,0)</f>
        <v>1</v>
      </c>
      <c r="O278" s="0" t="s">
        <v>890</v>
      </c>
      <c r="P278" s="0" t="s">
        <v>891</v>
      </c>
      <c r="Q278" s="0" t="s">
        <v>892</v>
      </c>
    </row>
    <row r="279" customFormat="false" ht="12.8" hidden="false" customHeight="false" outlineLevel="0" collapsed="false">
      <c r="A279" s="0" t="n">
        <v>1174667</v>
      </c>
      <c r="B279" s="0" t="s">
        <v>893</v>
      </c>
      <c r="E279" s="0" t="s">
        <v>17</v>
      </c>
      <c r="F279" s="0" t="s">
        <v>35</v>
      </c>
      <c r="G279" s="0" t="n">
        <v>39</v>
      </c>
      <c r="H279" s="0" t="s">
        <v>490</v>
      </c>
      <c r="I279" s="0" t="s">
        <v>20</v>
      </c>
      <c r="J279" s="0" t="n">
        <f aca="false">IF(I279=" ALARM",1,0)</f>
        <v>1</v>
      </c>
      <c r="K279" s="0" t="s">
        <v>20</v>
      </c>
      <c r="L279" s="0" t="n">
        <f aca="false">IF(K279=" ALARM",1,0)</f>
        <v>1</v>
      </c>
      <c r="M279" s="0" t="s">
        <v>20</v>
      </c>
      <c r="N279" s="0" t="n">
        <f aca="false">IF(M279=" ALARM",1,0)</f>
        <v>1</v>
      </c>
      <c r="O279" s="0" t="s">
        <v>894</v>
      </c>
      <c r="P279" s="0" t="s">
        <v>895</v>
      </c>
      <c r="Q279" s="0" t="s">
        <v>896</v>
      </c>
    </row>
    <row r="280" customFormat="false" ht="12.8" hidden="false" customHeight="false" outlineLevel="0" collapsed="false">
      <c r="A280" s="0" t="n">
        <v>1174682</v>
      </c>
      <c r="B280" s="0" t="s">
        <v>897</v>
      </c>
      <c r="E280" s="0" t="s">
        <v>17</v>
      </c>
      <c r="F280" s="0" t="s">
        <v>35</v>
      </c>
      <c r="G280" s="0" t="n">
        <v>39</v>
      </c>
      <c r="H280" s="0" t="s">
        <v>490</v>
      </c>
      <c r="I280" s="0" t="s">
        <v>20</v>
      </c>
      <c r="J280" s="0" t="n">
        <f aca="false">IF(I280=" ALARM",1,0)</f>
        <v>1</v>
      </c>
      <c r="K280" s="0" t="s">
        <v>20</v>
      </c>
      <c r="L280" s="0" t="n">
        <f aca="false">IF(K280=" ALARM",1,0)</f>
        <v>1</v>
      </c>
      <c r="M280" s="0" t="s">
        <v>20</v>
      </c>
      <c r="N280" s="0" t="n">
        <f aca="false">IF(M280=" ALARM",1,0)</f>
        <v>1</v>
      </c>
      <c r="O280" s="0" t="s">
        <v>898</v>
      </c>
      <c r="P280" s="0" t="s">
        <v>899</v>
      </c>
      <c r="Q280" s="0" t="s">
        <v>896</v>
      </c>
    </row>
    <row r="281" customFormat="false" ht="12.8" hidden="false" customHeight="false" outlineLevel="0" collapsed="false">
      <c r="A281" s="0" t="n">
        <v>1175117</v>
      </c>
      <c r="B281" s="0" t="s">
        <v>900</v>
      </c>
      <c r="E281" s="0" t="s">
        <v>17</v>
      </c>
      <c r="F281" s="0" t="s">
        <v>35</v>
      </c>
      <c r="G281" s="0" t="n">
        <v>39</v>
      </c>
      <c r="H281" s="0" t="s">
        <v>490</v>
      </c>
      <c r="I281" s="0" t="s">
        <v>20</v>
      </c>
      <c r="J281" s="0" t="n">
        <f aca="false">IF(I281=" ALARM",1,0)</f>
        <v>1</v>
      </c>
      <c r="K281" s="0" t="s">
        <v>20</v>
      </c>
      <c r="L281" s="0" t="n">
        <f aca="false">IF(K281=" ALARM",1,0)</f>
        <v>1</v>
      </c>
      <c r="M281" s="0" t="s">
        <v>20</v>
      </c>
      <c r="N281" s="0" t="n">
        <f aca="false">IF(M281=" ALARM",1,0)</f>
        <v>1</v>
      </c>
      <c r="O281" s="0" t="s">
        <v>901</v>
      </c>
      <c r="P281" s="0" t="s">
        <v>902</v>
      </c>
      <c r="Q281" s="0" t="s">
        <v>903</v>
      </c>
    </row>
    <row r="282" customFormat="false" ht="12.8" hidden="false" customHeight="false" outlineLevel="0" collapsed="false">
      <c r="A282" s="0" t="n">
        <v>1175127</v>
      </c>
      <c r="B282" s="0" t="s">
        <v>904</v>
      </c>
      <c r="E282" s="0" t="s">
        <v>17</v>
      </c>
      <c r="F282" s="0" t="s">
        <v>35</v>
      </c>
      <c r="G282" s="0" t="n">
        <v>39</v>
      </c>
      <c r="H282" s="0" t="s">
        <v>490</v>
      </c>
      <c r="I282" s="0" t="s">
        <v>30</v>
      </c>
      <c r="J282" s="0" t="n">
        <f aca="false">IF(I282=" ALARM",1,0)</f>
        <v>0</v>
      </c>
      <c r="K282" s="0" t="s">
        <v>20</v>
      </c>
      <c r="L282" s="0" t="n">
        <f aca="false">IF(K282=" ALARM",1,0)</f>
        <v>1</v>
      </c>
      <c r="M282" s="0" t="s">
        <v>20</v>
      </c>
      <c r="N282" s="0" t="n">
        <f aca="false">IF(M282=" ALARM",1,0)</f>
        <v>1</v>
      </c>
      <c r="O282" s="0" t="s">
        <v>905</v>
      </c>
      <c r="P282" s="0" t="s">
        <v>906</v>
      </c>
      <c r="Q282" s="0" t="s">
        <v>903</v>
      </c>
    </row>
    <row r="283" customFormat="false" ht="12.8" hidden="true" customHeight="false" outlineLevel="0" collapsed="false">
      <c r="A283" s="0" t="n">
        <v>1239016</v>
      </c>
      <c r="B283" s="0" t="s">
        <v>907</v>
      </c>
      <c r="E283" s="0" t="s">
        <v>17</v>
      </c>
      <c r="F283" s="0" t="s">
        <v>18</v>
      </c>
      <c r="G283" s="0" t="n">
        <v>39</v>
      </c>
      <c r="H283" s="0" t="s">
        <v>490</v>
      </c>
      <c r="I283" s="0" t="s">
        <v>20</v>
      </c>
      <c r="J283" s="0" t="n">
        <f aca="false">IF(I283=" ALARM",1,0)</f>
        <v>1</v>
      </c>
      <c r="K283" s="0" t="s">
        <v>20</v>
      </c>
      <c r="L283" s="0" t="n">
        <f aca="false">IF(K283=" ALARM",1,0)</f>
        <v>1</v>
      </c>
      <c r="M283" s="0" t="s">
        <v>20</v>
      </c>
      <c r="N283" s="0" t="n">
        <f aca="false">IF(M283=" ALARM",1,0)</f>
        <v>1</v>
      </c>
      <c r="O283" s="0" t="s">
        <v>908</v>
      </c>
      <c r="P283" s="0" t="s">
        <v>909</v>
      </c>
      <c r="Q283" s="0" t="s">
        <v>910</v>
      </c>
    </row>
    <row r="284" customFormat="false" ht="12.8" hidden="false" customHeight="false" outlineLevel="0" collapsed="false">
      <c r="A284" s="0" t="n">
        <v>1239536</v>
      </c>
      <c r="B284" s="0" t="s">
        <v>911</v>
      </c>
      <c r="E284" s="0" t="s">
        <v>17</v>
      </c>
      <c r="F284" s="0" t="s">
        <v>35</v>
      </c>
      <c r="G284" s="0" t="n">
        <v>39</v>
      </c>
      <c r="H284" s="0" t="s">
        <v>490</v>
      </c>
      <c r="I284" s="0" t="s">
        <v>20</v>
      </c>
      <c r="J284" s="0" t="n">
        <f aca="false">IF(I284=" ALARM",1,0)</f>
        <v>1</v>
      </c>
      <c r="K284" s="0" t="s">
        <v>20</v>
      </c>
      <c r="L284" s="0" t="n">
        <f aca="false">IF(K284=" ALARM",1,0)</f>
        <v>1</v>
      </c>
      <c r="M284" s="0" t="s">
        <v>20</v>
      </c>
      <c r="N284" s="0" t="n">
        <f aca="false">IF(M284=" ALARM",1,0)</f>
        <v>1</v>
      </c>
      <c r="O284" s="0" t="s">
        <v>912</v>
      </c>
      <c r="P284" s="0" t="s">
        <v>913</v>
      </c>
      <c r="Q284" s="0" t="s">
        <v>722</v>
      </c>
    </row>
    <row r="285" customFormat="false" ht="12.8" hidden="false" customHeight="false" outlineLevel="0" collapsed="false">
      <c r="A285" s="0" t="n">
        <v>1239545</v>
      </c>
      <c r="B285" s="0" t="s">
        <v>914</v>
      </c>
      <c r="E285" s="0" t="s">
        <v>17</v>
      </c>
      <c r="F285" s="0" t="s">
        <v>35</v>
      </c>
      <c r="G285" s="0" t="n">
        <v>39</v>
      </c>
      <c r="H285" s="0" t="s">
        <v>490</v>
      </c>
      <c r="I285" s="0" t="s">
        <v>20</v>
      </c>
      <c r="J285" s="0" t="n">
        <f aca="false">IF(I285=" ALARM",1,0)</f>
        <v>1</v>
      </c>
      <c r="K285" s="0" t="s">
        <v>20</v>
      </c>
      <c r="L285" s="0" t="n">
        <f aca="false">IF(K285=" ALARM",1,0)</f>
        <v>1</v>
      </c>
      <c r="M285" s="0" t="s">
        <v>20</v>
      </c>
      <c r="N285" s="0" t="n">
        <f aca="false">IF(M285=" ALARM",1,0)</f>
        <v>1</v>
      </c>
      <c r="O285" s="0" t="s">
        <v>915</v>
      </c>
      <c r="P285" s="0" t="s">
        <v>916</v>
      </c>
      <c r="Q285" s="0" t="s">
        <v>722</v>
      </c>
    </row>
    <row r="286" customFormat="false" ht="12.8" hidden="true" customHeight="false" outlineLevel="0" collapsed="false">
      <c r="A286" s="0" t="n">
        <v>1238991</v>
      </c>
      <c r="B286" s="0" t="s">
        <v>917</v>
      </c>
      <c r="C286" s="0" t="n">
        <v>0</v>
      </c>
      <c r="D286" s="0" t="s">
        <v>1052</v>
      </c>
      <c r="E286" s="0" t="s">
        <v>17</v>
      </c>
      <c r="F286" s="0" t="s">
        <v>36</v>
      </c>
      <c r="G286" s="0" t="n">
        <v>1246</v>
      </c>
      <c r="H286" s="0" t="s">
        <v>52</v>
      </c>
      <c r="I286" s="0" t="s">
        <v>21</v>
      </c>
      <c r="J286" s="0" t="n">
        <f aca="false">IF(I286=" ALARM",1,0)</f>
        <v>0</v>
      </c>
      <c r="K286" s="0" t="s">
        <v>21</v>
      </c>
      <c r="L286" s="0" t="n">
        <f aca="false">IF(K286=" ALARM",1,0)</f>
        <v>0</v>
      </c>
      <c r="M286" s="0" t="s">
        <v>20</v>
      </c>
      <c r="N286" s="0" t="n">
        <f aca="false">IF(M286=" ALARM",1,0)</f>
        <v>1</v>
      </c>
      <c r="O286" s="0" t="s">
        <v>440</v>
      </c>
      <c r="P286" s="0" t="s">
        <v>440</v>
      </c>
    </row>
    <row r="287" customFormat="false" ht="12.8" hidden="false" customHeight="false" outlineLevel="0" collapsed="false">
      <c r="A287" s="0" t="n">
        <v>1256237</v>
      </c>
      <c r="B287" s="0" t="s">
        <v>918</v>
      </c>
      <c r="E287" s="0" t="s">
        <v>17</v>
      </c>
      <c r="F287" s="0" t="s">
        <v>35</v>
      </c>
      <c r="G287" s="0" t="n">
        <v>39</v>
      </c>
      <c r="H287" s="0" t="s">
        <v>490</v>
      </c>
      <c r="I287" s="0" t="s">
        <v>20</v>
      </c>
      <c r="J287" s="0" t="n">
        <f aca="false">IF(I287=" ALARM",1,0)</f>
        <v>1</v>
      </c>
      <c r="K287" s="0" t="s">
        <v>20</v>
      </c>
      <c r="L287" s="0" t="n">
        <f aca="false">IF(K287=" ALARM",1,0)</f>
        <v>1</v>
      </c>
      <c r="M287" s="0" t="s">
        <v>20</v>
      </c>
      <c r="N287" s="0" t="n">
        <f aca="false">IF(M287=" ALARM",1,0)</f>
        <v>1</v>
      </c>
      <c r="O287" s="0" t="s">
        <v>919</v>
      </c>
      <c r="P287" s="0" t="s">
        <v>920</v>
      </c>
      <c r="Q287" s="0" t="s">
        <v>874</v>
      </c>
    </row>
    <row r="288" customFormat="false" ht="12.8" hidden="false" customHeight="false" outlineLevel="0" collapsed="false">
      <c r="A288" s="0" t="n">
        <v>1240082</v>
      </c>
      <c r="B288" s="0" t="s">
        <v>921</v>
      </c>
      <c r="C288" s="0" t="n">
        <v>0</v>
      </c>
      <c r="D288" s="0" t="s">
        <v>1052</v>
      </c>
      <c r="E288" s="0" t="s">
        <v>17</v>
      </c>
      <c r="F288" s="0" t="s">
        <v>35</v>
      </c>
      <c r="G288" s="0" t="n">
        <v>1246</v>
      </c>
      <c r="H288" s="0" t="s">
        <v>52</v>
      </c>
      <c r="I288" s="0" t="s">
        <v>21</v>
      </c>
      <c r="J288" s="0" t="n">
        <f aca="false">IF(I288=" ALARM",1,0)</f>
        <v>0</v>
      </c>
      <c r="K288" s="0" t="s">
        <v>20</v>
      </c>
      <c r="L288" s="0" t="n">
        <f aca="false">IF(K288=" ALARM",1,0)</f>
        <v>1</v>
      </c>
      <c r="M288" s="0" t="s">
        <v>20</v>
      </c>
      <c r="N288" s="0" t="n">
        <f aca="false">IF(M288=" ALARM",1,0)</f>
        <v>1</v>
      </c>
      <c r="O288" s="0" t="s">
        <v>440</v>
      </c>
      <c r="P288" s="0" t="s">
        <v>922</v>
      </c>
    </row>
    <row r="289" customFormat="false" ht="12.8" hidden="true" customHeight="false" outlineLevel="0" collapsed="false">
      <c r="A289" s="0" t="n">
        <v>1240085</v>
      </c>
      <c r="B289" s="0" t="s">
        <v>923</v>
      </c>
      <c r="C289" s="0" t="n">
        <v>1</v>
      </c>
      <c r="D289" s="0" t="s">
        <v>1053</v>
      </c>
      <c r="E289" s="0" t="s">
        <v>17</v>
      </c>
      <c r="F289" s="0" t="s">
        <v>35</v>
      </c>
      <c r="G289" s="0" t="n">
        <v>1246</v>
      </c>
      <c r="H289" s="0" t="s">
        <v>52</v>
      </c>
      <c r="I289" s="0" t="s">
        <v>21</v>
      </c>
      <c r="J289" s="0" t="n">
        <f aca="false">IF(I289=" ALARM",1,0)</f>
        <v>0</v>
      </c>
      <c r="K289" s="0" t="s">
        <v>20</v>
      </c>
      <c r="L289" s="0" t="n">
        <f aca="false">IF(K289=" ALARM",1,0)</f>
        <v>1</v>
      </c>
      <c r="M289" s="0" t="s">
        <v>20</v>
      </c>
      <c r="N289" s="0" t="n">
        <f aca="false">IF(M289=" ALARM",1,0)</f>
        <v>1</v>
      </c>
      <c r="O289" s="0" t="s">
        <v>440</v>
      </c>
      <c r="P289" s="0" t="s">
        <v>924</v>
      </c>
    </row>
    <row r="290" customFormat="false" ht="12.8" hidden="false" customHeight="false" outlineLevel="0" collapsed="false">
      <c r="A290" s="0" t="n">
        <v>1282212</v>
      </c>
      <c r="B290" s="0" t="s">
        <v>925</v>
      </c>
      <c r="E290" s="0" t="s">
        <v>17</v>
      </c>
      <c r="F290" s="0" t="s">
        <v>35</v>
      </c>
      <c r="G290" s="0" t="n">
        <v>39</v>
      </c>
      <c r="H290" s="0" t="s">
        <v>490</v>
      </c>
      <c r="I290" s="0" t="s">
        <v>20</v>
      </c>
      <c r="J290" s="0" t="n">
        <f aca="false">IF(I290=" ALARM",1,0)</f>
        <v>1</v>
      </c>
      <c r="K290" s="0" t="s">
        <v>20</v>
      </c>
      <c r="L290" s="0" t="n">
        <f aca="false">IF(K290=" ALARM",1,0)</f>
        <v>1</v>
      </c>
      <c r="M290" s="0" t="s">
        <v>20</v>
      </c>
      <c r="N290" s="0" t="n">
        <f aca="false">IF(M290=" ALARM",1,0)</f>
        <v>1</v>
      </c>
      <c r="O290" s="0" t="s">
        <v>926</v>
      </c>
      <c r="P290" s="0" t="s">
        <v>927</v>
      </c>
      <c r="Q290" s="0" t="s">
        <v>928</v>
      </c>
    </row>
    <row r="291" customFormat="false" ht="12.8" hidden="true" customHeight="false" outlineLevel="0" collapsed="false">
      <c r="A291" s="0" t="n">
        <v>1298553</v>
      </c>
      <c r="B291" s="0" t="s">
        <v>929</v>
      </c>
      <c r="E291" s="0" t="s">
        <v>17</v>
      </c>
      <c r="F291" s="0" t="s">
        <v>18</v>
      </c>
      <c r="G291" s="0" t="n">
        <v>39</v>
      </c>
      <c r="H291" s="0" t="s">
        <v>490</v>
      </c>
      <c r="I291" s="0" t="s">
        <v>20</v>
      </c>
      <c r="J291" s="0" t="n">
        <f aca="false">IF(I291=" ALARM",1,0)</f>
        <v>1</v>
      </c>
      <c r="K291" s="0" t="s">
        <v>20</v>
      </c>
      <c r="L291" s="0" t="n">
        <f aca="false">IF(K291=" ALARM",1,0)</f>
        <v>1</v>
      </c>
      <c r="M291" s="0" t="s">
        <v>20</v>
      </c>
      <c r="N291" s="0" t="n">
        <f aca="false">IF(M291=" ALARM",1,0)</f>
        <v>1</v>
      </c>
      <c r="O291" s="0" t="s">
        <v>930</v>
      </c>
      <c r="P291" s="0" t="s">
        <v>931</v>
      </c>
      <c r="Q291" s="0" t="s">
        <v>932</v>
      </c>
    </row>
    <row r="292" customFormat="false" ht="12.8" hidden="true" customHeight="false" outlineLevel="0" collapsed="false">
      <c r="A292" s="0" t="n">
        <v>1298555</v>
      </c>
      <c r="B292" s="0" t="s">
        <v>933</v>
      </c>
      <c r="E292" s="0" t="s">
        <v>17</v>
      </c>
      <c r="F292" s="0" t="s">
        <v>18</v>
      </c>
      <c r="G292" s="0" t="n">
        <v>39</v>
      </c>
      <c r="H292" s="0" t="s">
        <v>490</v>
      </c>
      <c r="I292" s="0" t="s">
        <v>20</v>
      </c>
      <c r="J292" s="0" t="n">
        <f aca="false">IF(I292=" ALARM",1,0)</f>
        <v>1</v>
      </c>
      <c r="K292" s="0" t="s">
        <v>20</v>
      </c>
      <c r="L292" s="0" t="n">
        <f aca="false">IF(K292=" ALARM",1,0)</f>
        <v>1</v>
      </c>
      <c r="M292" s="0" t="s">
        <v>20</v>
      </c>
      <c r="N292" s="0" t="n">
        <f aca="false">IF(M292=" ALARM",1,0)</f>
        <v>1</v>
      </c>
      <c r="O292" s="0" t="s">
        <v>934</v>
      </c>
      <c r="P292" s="0" t="s">
        <v>935</v>
      </c>
      <c r="Q292" s="0" t="s">
        <v>932</v>
      </c>
    </row>
    <row r="293" customFormat="false" ht="12.8" hidden="false" customHeight="false" outlineLevel="0" collapsed="false">
      <c r="A293" s="0" t="n">
        <v>1289905</v>
      </c>
      <c r="B293" s="0" t="s">
        <v>936</v>
      </c>
      <c r="E293" s="0" t="s">
        <v>17</v>
      </c>
      <c r="F293" s="0" t="s">
        <v>35</v>
      </c>
      <c r="G293" s="0" t="n">
        <v>733</v>
      </c>
      <c r="H293" s="0" t="s">
        <v>52</v>
      </c>
      <c r="I293" s="0" t="s">
        <v>20</v>
      </c>
      <c r="J293" s="0" t="n">
        <f aca="false">IF(I293=" ALARM",1,0)</f>
        <v>1</v>
      </c>
      <c r="K293" s="0" t="s">
        <v>20</v>
      </c>
      <c r="L293" s="0" t="n">
        <f aca="false">IF(K293=" ALARM",1,0)</f>
        <v>1</v>
      </c>
      <c r="M293" s="0" t="s">
        <v>20</v>
      </c>
      <c r="N293" s="0" t="n">
        <f aca="false">IF(M293=" ALARM",1,0)</f>
        <v>1</v>
      </c>
      <c r="O293" s="0" t="s">
        <v>937</v>
      </c>
      <c r="P293" s="0" t="s">
        <v>938</v>
      </c>
    </row>
    <row r="294" customFormat="false" ht="12.8" hidden="false" customHeight="false" outlineLevel="0" collapsed="false">
      <c r="A294" s="0" t="n">
        <v>1290435</v>
      </c>
      <c r="B294" s="0" t="s">
        <v>939</v>
      </c>
      <c r="E294" s="0" t="s">
        <v>17</v>
      </c>
      <c r="F294" s="0" t="s">
        <v>35</v>
      </c>
      <c r="G294" s="0" t="n">
        <v>733</v>
      </c>
      <c r="H294" s="0" t="s">
        <v>52</v>
      </c>
      <c r="I294" s="0" t="s">
        <v>20</v>
      </c>
      <c r="J294" s="0" t="n">
        <f aca="false">IF(I294=" ALARM",1,0)</f>
        <v>1</v>
      </c>
      <c r="K294" s="0" t="s">
        <v>20</v>
      </c>
      <c r="L294" s="0" t="n">
        <f aca="false">IF(K294=" ALARM",1,0)</f>
        <v>1</v>
      </c>
      <c r="M294" s="0" t="s">
        <v>20</v>
      </c>
      <c r="N294" s="0" t="n">
        <f aca="false">IF(M294=" ALARM",1,0)</f>
        <v>1</v>
      </c>
      <c r="O294" s="0" t="s">
        <v>940</v>
      </c>
      <c r="P294" s="0" t="s">
        <v>941</v>
      </c>
    </row>
    <row r="295" customFormat="false" ht="12.8" hidden="false" customHeight="false" outlineLevel="0" collapsed="false">
      <c r="A295" s="0" t="n">
        <v>1290473</v>
      </c>
      <c r="B295" s="0" t="s">
        <v>942</v>
      </c>
      <c r="E295" s="0" t="s">
        <v>17</v>
      </c>
      <c r="F295" s="0" t="s">
        <v>35</v>
      </c>
      <c r="G295" s="0" t="n">
        <v>733</v>
      </c>
      <c r="H295" s="0" t="s">
        <v>52</v>
      </c>
      <c r="I295" s="0" t="s">
        <v>20</v>
      </c>
      <c r="J295" s="0" t="n">
        <f aca="false">IF(I295=" ALARM",1,0)</f>
        <v>1</v>
      </c>
      <c r="K295" s="0" t="s">
        <v>20</v>
      </c>
      <c r="L295" s="0" t="n">
        <f aca="false">IF(K295=" ALARM",1,0)</f>
        <v>1</v>
      </c>
      <c r="M295" s="0" t="s">
        <v>20</v>
      </c>
      <c r="N295" s="0" t="n">
        <f aca="false">IF(M295=" ALARM",1,0)</f>
        <v>1</v>
      </c>
      <c r="O295" s="0" t="s">
        <v>943</v>
      </c>
      <c r="P295" s="0" t="s">
        <v>944</v>
      </c>
    </row>
    <row r="296" customFormat="false" ht="12.8" hidden="false" customHeight="false" outlineLevel="0" collapsed="false">
      <c r="A296" s="0" t="n">
        <v>1290483</v>
      </c>
      <c r="B296" s="0" t="s">
        <v>945</v>
      </c>
      <c r="E296" s="0" t="s">
        <v>17</v>
      </c>
      <c r="F296" s="0" t="s">
        <v>35</v>
      </c>
      <c r="G296" s="0" t="n">
        <v>733</v>
      </c>
      <c r="H296" s="0" t="s">
        <v>52</v>
      </c>
      <c r="I296" s="0" t="s">
        <v>20</v>
      </c>
      <c r="J296" s="0" t="n">
        <f aca="false">IF(I296=" ALARM",1,0)</f>
        <v>1</v>
      </c>
      <c r="K296" s="0" t="s">
        <v>20</v>
      </c>
      <c r="L296" s="0" t="n">
        <f aca="false">IF(K296=" ALARM",1,0)</f>
        <v>1</v>
      </c>
      <c r="M296" s="0" t="s">
        <v>20</v>
      </c>
      <c r="N296" s="0" t="n">
        <f aca="false">IF(M296=" ALARM",1,0)</f>
        <v>1</v>
      </c>
      <c r="O296" s="0" t="s">
        <v>946</v>
      </c>
      <c r="P296" s="0" t="s">
        <v>947</v>
      </c>
    </row>
    <row r="297" customFormat="false" ht="12.8" hidden="false" customHeight="false" outlineLevel="0" collapsed="false">
      <c r="A297" s="0" t="n">
        <v>1311913</v>
      </c>
      <c r="B297" s="0" t="s">
        <v>948</v>
      </c>
      <c r="E297" s="0" t="s">
        <v>17</v>
      </c>
      <c r="F297" s="0" t="s">
        <v>35</v>
      </c>
      <c r="G297" s="0" t="n">
        <v>39</v>
      </c>
      <c r="H297" s="0" t="s">
        <v>490</v>
      </c>
      <c r="I297" s="0" t="s">
        <v>20</v>
      </c>
      <c r="J297" s="0" t="n">
        <f aca="false">IF(I297=" ALARM",1,0)</f>
        <v>1</v>
      </c>
      <c r="K297" s="0" t="s">
        <v>20</v>
      </c>
      <c r="L297" s="0" t="n">
        <f aca="false">IF(K297=" ALARM",1,0)</f>
        <v>1</v>
      </c>
      <c r="M297" s="0" t="s">
        <v>20</v>
      </c>
      <c r="N297" s="0" t="n">
        <f aca="false">IF(M297=" ALARM",1,0)</f>
        <v>1</v>
      </c>
      <c r="O297" s="0" t="s">
        <v>949</v>
      </c>
      <c r="P297" s="0" t="s">
        <v>950</v>
      </c>
      <c r="Q297" s="0" t="s">
        <v>722</v>
      </c>
    </row>
    <row r="298" customFormat="false" ht="12.8" hidden="false" customHeight="false" outlineLevel="0" collapsed="false">
      <c r="A298" s="0" t="n">
        <v>1311929</v>
      </c>
      <c r="B298" s="0" t="s">
        <v>951</v>
      </c>
      <c r="E298" s="0" t="s">
        <v>17</v>
      </c>
      <c r="F298" s="0" t="s">
        <v>35</v>
      </c>
      <c r="G298" s="0" t="n">
        <v>39</v>
      </c>
      <c r="H298" s="0" t="s">
        <v>490</v>
      </c>
      <c r="I298" s="0" t="s">
        <v>20</v>
      </c>
      <c r="J298" s="0" t="n">
        <f aca="false">IF(I298=" ALARM",1,0)</f>
        <v>1</v>
      </c>
      <c r="K298" s="0" t="s">
        <v>20</v>
      </c>
      <c r="L298" s="0" t="n">
        <f aca="false">IF(K298=" ALARM",1,0)</f>
        <v>1</v>
      </c>
      <c r="M298" s="0" t="s">
        <v>20</v>
      </c>
      <c r="N298" s="0" t="n">
        <f aca="false">IF(M298=" ALARM",1,0)</f>
        <v>1</v>
      </c>
      <c r="O298" s="0" t="s">
        <v>952</v>
      </c>
      <c r="P298" s="0" t="s">
        <v>953</v>
      </c>
      <c r="Q298" s="0" t="s">
        <v>722</v>
      </c>
    </row>
    <row r="299" customFormat="false" ht="12.8" hidden="true" customHeight="false" outlineLevel="0" collapsed="false">
      <c r="A299" s="0" t="n">
        <v>1311942</v>
      </c>
      <c r="B299" s="0" t="s">
        <v>954</v>
      </c>
      <c r="E299" s="0" t="s">
        <v>17</v>
      </c>
      <c r="F299" s="0" t="s">
        <v>18</v>
      </c>
      <c r="G299" s="0" t="n">
        <v>39</v>
      </c>
      <c r="H299" s="0" t="s">
        <v>490</v>
      </c>
      <c r="I299" s="0" t="s">
        <v>20</v>
      </c>
      <c r="J299" s="0" t="n">
        <f aca="false">IF(I299=" ALARM",1,0)</f>
        <v>1</v>
      </c>
      <c r="K299" s="0" t="s">
        <v>20</v>
      </c>
      <c r="L299" s="0" t="n">
        <f aca="false">IF(K299=" ALARM",1,0)</f>
        <v>1</v>
      </c>
      <c r="M299" s="0" t="s">
        <v>20</v>
      </c>
      <c r="N299" s="0" t="n">
        <f aca="false">IF(M299=" ALARM",1,0)</f>
        <v>1</v>
      </c>
      <c r="O299" s="0" t="s">
        <v>955</v>
      </c>
      <c r="P299" s="0" t="s">
        <v>956</v>
      </c>
      <c r="Q299" s="0" t="s">
        <v>957</v>
      </c>
    </row>
    <row r="300" customFormat="false" ht="12.8" hidden="true" customHeight="false" outlineLevel="0" collapsed="false">
      <c r="A300" s="0" t="n">
        <v>1318289</v>
      </c>
      <c r="B300" s="0" t="s">
        <v>958</v>
      </c>
      <c r="C300" s="0" t="n">
        <v>0</v>
      </c>
      <c r="D300" s="0" t="s">
        <v>1052</v>
      </c>
      <c r="E300" s="0" t="s">
        <v>17</v>
      </c>
      <c r="F300" s="0" t="s">
        <v>18</v>
      </c>
      <c r="G300" s="0" t="n">
        <v>39</v>
      </c>
      <c r="H300" s="0" t="s">
        <v>490</v>
      </c>
      <c r="I300" s="0" t="s">
        <v>20</v>
      </c>
      <c r="J300" s="0" t="n">
        <f aca="false">IF(I300=" ALARM",1,0)</f>
        <v>1</v>
      </c>
      <c r="K300" s="0" t="s">
        <v>20</v>
      </c>
      <c r="L300" s="0" t="n">
        <f aca="false">IF(K300=" ALARM",1,0)</f>
        <v>1</v>
      </c>
      <c r="M300" s="0" t="s">
        <v>20</v>
      </c>
      <c r="N300" s="0" t="n">
        <f aca="false">IF(M300=" ALARM",1,0)</f>
        <v>1</v>
      </c>
      <c r="O300" s="0" t="s">
        <v>959</v>
      </c>
      <c r="P300" s="0" t="s">
        <v>960</v>
      </c>
      <c r="Q300" s="0" t="s">
        <v>961</v>
      </c>
    </row>
    <row r="301" customFormat="false" ht="12.8" hidden="true" customHeight="false" outlineLevel="0" collapsed="false">
      <c r="A301" s="0" t="n">
        <v>1318294</v>
      </c>
      <c r="B301" s="0" t="s">
        <v>962</v>
      </c>
      <c r="C301" s="0" t="n">
        <v>0</v>
      </c>
      <c r="D301" s="0" t="s">
        <v>1052</v>
      </c>
      <c r="E301" s="0" t="s">
        <v>17</v>
      </c>
      <c r="F301" s="0" t="s">
        <v>18</v>
      </c>
      <c r="G301" s="0" t="n">
        <v>39</v>
      </c>
      <c r="H301" s="0" t="s">
        <v>490</v>
      </c>
      <c r="I301" s="0" t="s">
        <v>20</v>
      </c>
      <c r="J301" s="0" t="n">
        <f aca="false">IF(I301=" ALARM",1,0)</f>
        <v>1</v>
      </c>
      <c r="K301" s="0" t="s">
        <v>20</v>
      </c>
      <c r="L301" s="0" t="n">
        <f aca="false">IF(K301=" ALARM",1,0)</f>
        <v>1</v>
      </c>
      <c r="M301" s="0" t="s">
        <v>20</v>
      </c>
      <c r="N301" s="0" t="n">
        <f aca="false">IF(M301=" ALARM",1,0)</f>
        <v>1</v>
      </c>
      <c r="O301" s="0" t="s">
        <v>963</v>
      </c>
      <c r="P301" s="0" t="s">
        <v>964</v>
      </c>
      <c r="Q301" s="0" t="s">
        <v>961</v>
      </c>
    </row>
    <row r="302" customFormat="false" ht="12.8" hidden="true" customHeight="false" outlineLevel="0" collapsed="false">
      <c r="A302" s="0" t="n">
        <v>1328540</v>
      </c>
      <c r="B302" s="0" t="s">
        <v>965</v>
      </c>
      <c r="C302" s="0" t="n">
        <v>0</v>
      </c>
      <c r="D302" s="0" t="s">
        <v>1054</v>
      </c>
      <c r="E302" s="0" t="s">
        <v>17</v>
      </c>
      <c r="F302" s="0" t="s">
        <v>35</v>
      </c>
      <c r="G302" s="0" t="n">
        <v>1643</v>
      </c>
      <c r="H302" s="0" t="s">
        <v>52</v>
      </c>
      <c r="I302" s="0" t="s">
        <v>21</v>
      </c>
      <c r="J302" s="0" t="n">
        <f aca="false">IF(I302=" ALARM",1,0)</f>
        <v>0</v>
      </c>
      <c r="K302" s="0" t="s">
        <v>21</v>
      </c>
      <c r="L302" s="0" t="n">
        <f aca="false">IF(K302=" ALARM",1,0)</f>
        <v>0</v>
      </c>
      <c r="M302" s="0" t="s">
        <v>20</v>
      </c>
      <c r="N302" s="0" t="n">
        <f aca="false">IF(M302=" ALARM",1,0)</f>
        <v>1</v>
      </c>
      <c r="O302" s="0" t="s">
        <v>440</v>
      </c>
      <c r="P302" s="0" t="s">
        <v>440</v>
      </c>
      <c r="Q302" s="0" t="s">
        <v>966</v>
      </c>
    </row>
    <row r="303" customFormat="false" ht="12.8" hidden="true" customHeight="false" outlineLevel="0" collapsed="false">
      <c r="A303" s="0" t="n">
        <v>1328546</v>
      </c>
      <c r="B303" s="0" t="s">
        <v>967</v>
      </c>
      <c r="C303" s="0" t="n">
        <v>1</v>
      </c>
      <c r="D303" s="0" t="s">
        <v>1055</v>
      </c>
      <c r="E303" s="0" t="s">
        <v>17</v>
      </c>
      <c r="F303" s="0" t="s">
        <v>35</v>
      </c>
      <c r="G303" s="0" t="n">
        <v>1643</v>
      </c>
      <c r="H303" s="0" t="s">
        <v>52</v>
      </c>
      <c r="I303" s="0" t="s">
        <v>21</v>
      </c>
      <c r="J303" s="0" t="n">
        <f aca="false">IF(I303=" ALARM",1,0)</f>
        <v>0</v>
      </c>
      <c r="K303" s="0" t="s">
        <v>21</v>
      </c>
      <c r="L303" s="0" t="n">
        <f aca="false">IF(K303=" ALARM",1,0)</f>
        <v>0</v>
      </c>
      <c r="M303" s="0" t="s">
        <v>20</v>
      </c>
      <c r="N303" s="0" t="n">
        <f aca="false">IF(M303=" ALARM",1,0)</f>
        <v>1</v>
      </c>
      <c r="O303" s="0" t="s">
        <v>440</v>
      </c>
      <c r="P303" s="0" t="s">
        <v>440</v>
      </c>
      <c r="Q303" s="0" t="s">
        <v>968</v>
      </c>
    </row>
    <row r="304" customFormat="false" ht="12.8" hidden="true" customHeight="false" outlineLevel="0" collapsed="false">
      <c r="A304" s="0" t="n">
        <v>1328550</v>
      </c>
      <c r="B304" s="0" t="s">
        <v>969</v>
      </c>
      <c r="C304" s="0" t="n">
        <v>1</v>
      </c>
      <c r="D304" s="0" t="s">
        <v>1055</v>
      </c>
      <c r="E304" s="0" t="s">
        <v>17</v>
      </c>
      <c r="F304" s="0" t="s">
        <v>35</v>
      </c>
      <c r="G304" s="0" t="n">
        <v>1643</v>
      </c>
      <c r="H304" s="0" t="s">
        <v>52</v>
      </c>
      <c r="I304" s="0" t="s">
        <v>21</v>
      </c>
      <c r="J304" s="0" t="n">
        <f aca="false">IF(I304=" ALARM",1,0)</f>
        <v>0</v>
      </c>
      <c r="K304" s="0" t="s">
        <v>21</v>
      </c>
      <c r="L304" s="0" t="n">
        <f aca="false">IF(K304=" ALARM",1,0)</f>
        <v>0</v>
      </c>
      <c r="M304" s="0" t="s">
        <v>20</v>
      </c>
      <c r="N304" s="0" t="n">
        <f aca="false">IF(M304=" ALARM",1,0)</f>
        <v>1</v>
      </c>
      <c r="O304" s="0" t="s">
        <v>440</v>
      </c>
      <c r="P304" s="0" t="s">
        <v>440</v>
      </c>
      <c r="Q304" s="0" t="s">
        <v>968</v>
      </c>
    </row>
    <row r="305" customFormat="false" ht="12.8" hidden="true" customHeight="false" outlineLevel="0" collapsed="false">
      <c r="A305" s="0" t="n">
        <v>1328552</v>
      </c>
      <c r="B305" s="0" t="s">
        <v>970</v>
      </c>
      <c r="C305" s="0" t="n">
        <v>1</v>
      </c>
      <c r="D305" s="0" t="s">
        <v>1055</v>
      </c>
      <c r="E305" s="0" t="s">
        <v>17</v>
      </c>
      <c r="F305" s="0" t="s">
        <v>35</v>
      </c>
      <c r="G305" s="0" t="n">
        <v>1643</v>
      </c>
      <c r="H305" s="0" t="s">
        <v>52</v>
      </c>
      <c r="I305" s="0" t="s">
        <v>21</v>
      </c>
      <c r="J305" s="0" t="n">
        <f aca="false">IF(I305=" ALARM",1,0)</f>
        <v>0</v>
      </c>
      <c r="K305" s="0" t="s">
        <v>21</v>
      </c>
      <c r="L305" s="0" t="n">
        <f aca="false">IF(K305=" ALARM",1,0)</f>
        <v>0</v>
      </c>
      <c r="M305" s="0" t="s">
        <v>30</v>
      </c>
      <c r="N305" s="0" t="n">
        <f aca="false">IF(M305=" ALARM",1,0)</f>
        <v>0</v>
      </c>
      <c r="O305" s="0" t="s">
        <v>440</v>
      </c>
      <c r="P305" s="0" t="s">
        <v>440</v>
      </c>
      <c r="Q305" s="0" t="s">
        <v>968</v>
      </c>
    </row>
    <row r="306" customFormat="false" ht="12.8" hidden="true" customHeight="false" outlineLevel="0" collapsed="false">
      <c r="A306" s="0" t="n">
        <v>1328570</v>
      </c>
      <c r="B306" s="0" t="s">
        <v>971</v>
      </c>
      <c r="C306" s="0" t="n">
        <v>0</v>
      </c>
      <c r="D306" s="0" t="s">
        <v>1056</v>
      </c>
      <c r="E306" s="0" t="s">
        <v>17</v>
      </c>
      <c r="F306" s="0" t="s">
        <v>35</v>
      </c>
      <c r="G306" s="0" t="n">
        <v>1643</v>
      </c>
      <c r="H306" s="0" t="s">
        <v>52</v>
      </c>
      <c r="I306" s="0" t="s">
        <v>21</v>
      </c>
      <c r="J306" s="0" t="n">
        <f aca="false">IF(I306=" ALARM",1,0)</f>
        <v>0</v>
      </c>
      <c r="K306" s="0" t="s">
        <v>21</v>
      </c>
      <c r="L306" s="0" t="n">
        <f aca="false">IF(K306=" ALARM",1,0)</f>
        <v>0</v>
      </c>
      <c r="M306" s="0" t="s">
        <v>30</v>
      </c>
      <c r="N306" s="0" t="n">
        <f aca="false">IF(M306=" ALARM",1,0)</f>
        <v>0</v>
      </c>
      <c r="O306" s="0" t="s">
        <v>440</v>
      </c>
      <c r="P306" s="0" t="s">
        <v>440</v>
      </c>
      <c r="Q306" s="0" t="s">
        <v>972</v>
      </c>
    </row>
    <row r="307" customFormat="false" ht="12.8" hidden="true" customHeight="false" outlineLevel="0" collapsed="false">
      <c r="A307" s="0" t="n">
        <v>1328579</v>
      </c>
      <c r="B307" s="0" t="s">
        <v>973</v>
      </c>
      <c r="C307" s="0" t="n">
        <v>0</v>
      </c>
      <c r="D307" s="0" t="s">
        <v>1056</v>
      </c>
      <c r="E307" s="0" t="s">
        <v>17</v>
      </c>
      <c r="F307" s="0" t="s">
        <v>35</v>
      </c>
      <c r="G307" s="0" t="n">
        <v>1643</v>
      </c>
      <c r="H307" s="0" t="s">
        <v>52</v>
      </c>
      <c r="I307" s="0" t="s">
        <v>21</v>
      </c>
      <c r="J307" s="0" t="n">
        <f aca="false">IF(I307=" ALARM",1,0)</f>
        <v>0</v>
      </c>
      <c r="K307" s="0" t="s">
        <v>21</v>
      </c>
      <c r="L307" s="0" t="n">
        <f aca="false">IF(K307=" ALARM",1,0)</f>
        <v>0</v>
      </c>
      <c r="M307" s="0" t="s">
        <v>30</v>
      </c>
      <c r="N307" s="0" t="n">
        <f aca="false">IF(M307=" ALARM",1,0)</f>
        <v>0</v>
      </c>
      <c r="O307" s="0" t="s">
        <v>440</v>
      </c>
      <c r="P307" s="0" t="s">
        <v>440</v>
      </c>
      <c r="Q307" s="0" t="s">
        <v>972</v>
      </c>
    </row>
    <row r="308" customFormat="false" ht="12.8" hidden="true" customHeight="false" outlineLevel="0" collapsed="false">
      <c r="A308" s="0" t="n">
        <v>1329211</v>
      </c>
      <c r="B308" s="0" t="s">
        <v>974</v>
      </c>
      <c r="C308" s="0" t="n">
        <v>0</v>
      </c>
      <c r="D308" s="0" t="s">
        <v>1057</v>
      </c>
      <c r="E308" s="0" t="s">
        <v>17</v>
      </c>
      <c r="F308" s="0" t="s">
        <v>18</v>
      </c>
      <c r="G308" s="0" t="n">
        <v>1643</v>
      </c>
      <c r="H308" s="0" t="s">
        <v>52</v>
      </c>
      <c r="I308" s="0" t="s">
        <v>21</v>
      </c>
      <c r="J308" s="0" t="n">
        <f aca="false">IF(I308=" ALARM",1,0)</f>
        <v>0</v>
      </c>
      <c r="K308" s="0" t="s">
        <v>21</v>
      </c>
      <c r="L308" s="0" t="n">
        <f aca="false">IF(K308=" ALARM",1,0)</f>
        <v>0</v>
      </c>
      <c r="M308" s="0" t="s">
        <v>30</v>
      </c>
      <c r="N308" s="0" t="n">
        <f aca="false">IF(M308=" ALARM",1,0)</f>
        <v>0</v>
      </c>
      <c r="O308" s="0" t="s">
        <v>440</v>
      </c>
      <c r="P308" s="0" t="s">
        <v>440</v>
      </c>
      <c r="Q308" s="0" t="s">
        <v>975</v>
      </c>
    </row>
    <row r="309" customFormat="false" ht="12.8" hidden="false" customHeight="false" outlineLevel="0" collapsed="false">
      <c r="A309" s="0" t="n">
        <v>1322471</v>
      </c>
      <c r="B309" s="0" t="s">
        <v>976</v>
      </c>
      <c r="C309" s="0" t="n">
        <v>0</v>
      </c>
      <c r="D309" s="0" t="s">
        <v>1052</v>
      </c>
      <c r="E309" s="0" t="s">
        <v>17</v>
      </c>
      <c r="F309" s="0" t="s">
        <v>35</v>
      </c>
      <c r="G309" s="0" t="n">
        <v>39</v>
      </c>
      <c r="H309" s="0" t="s">
        <v>490</v>
      </c>
      <c r="I309" s="0" t="s">
        <v>20</v>
      </c>
      <c r="J309" s="0" t="n">
        <f aca="false">IF(I309=" ALARM",1,0)</f>
        <v>1</v>
      </c>
      <c r="K309" s="0" t="s">
        <v>20</v>
      </c>
      <c r="L309" s="0" t="n">
        <f aca="false">IF(K309=" ALARM",1,0)</f>
        <v>1</v>
      </c>
      <c r="M309" s="0" t="s">
        <v>20</v>
      </c>
      <c r="N309" s="0" t="n">
        <f aca="false">IF(M309=" ALARM",1,0)</f>
        <v>1</v>
      </c>
      <c r="O309" s="0" t="s">
        <v>894</v>
      </c>
      <c r="P309" s="0" t="s">
        <v>977</v>
      </c>
      <c r="Q309" s="0" t="s">
        <v>874</v>
      </c>
    </row>
    <row r="310" customFormat="false" ht="12.8" hidden="false" customHeight="false" outlineLevel="0" collapsed="false">
      <c r="A310" s="0" t="n">
        <v>1322457</v>
      </c>
      <c r="B310" s="0" t="s">
        <v>978</v>
      </c>
      <c r="C310" s="0" t="n">
        <v>0</v>
      </c>
      <c r="D310" s="0" t="s">
        <v>1052</v>
      </c>
      <c r="E310" s="0" t="s">
        <v>17</v>
      </c>
      <c r="F310" s="0" t="s">
        <v>35</v>
      </c>
      <c r="G310" s="0" t="n">
        <v>39</v>
      </c>
      <c r="H310" s="0" t="s">
        <v>490</v>
      </c>
      <c r="I310" s="0" t="s">
        <v>20</v>
      </c>
      <c r="J310" s="0" t="n">
        <f aca="false">IF(I310=" ALARM",1,0)</f>
        <v>1</v>
      </c>
      <c r="K310" s="0" t="s">
        <v>20</v>
      </c>
      <c r="L310" s="0" t="n">
        <f aca="false">IF(K310=" ALARM",1,0)</f>
        <v>1</v>
      </c>
      <c r="M310" s="0" t="s">
        <v>20</v>
      </c>
      <c r="N310" s="0" t="n">
        <f aca="false">IF(M310=" ALARM",1,0)</f>
        <v>1</v>
      </c>
      <c r="O310" s="0" t="s">
        <v>979</v>
      </c>
      <c r="P310" s="0" t="s">
        <v>980</v>
      </c>
      <c r="Q310" s="0" t="s">
        <v>874</v>
      </c>
    </row>
    <row r="311" customFormat="false" ht="12.8" hidden="false" customHeight="false" outlineLevel="0" collapsed="false">
      <c r="A311" s="0" t="n">
        <v>1335732</v>
      </c>
      <c r="B311" s="0" t="s">
        <v>981</v>
      </c>
      <c r="C311" s="0" t="n">
        <v>0</v>
      </c>
      <c r="D311" s="0" t="s">
        <v>1052</v>
      </c>
      <c r="E311" s="0" t="s">
        <v>17</v>
      </c>
      <c r="F311" s="0" t="s">
        <v>35</v>
      </c>
      <c r="G311" s="0" t="n">
        <v>39</v>
      </c>
      <c r="H311" s="0" t="s">
        <v>490</v>
      </c>
      <c r="I311" s="0" t="s">
        <v>20</v>
      </c>
      <c r="J311" s="0" t="n">
        <f aca="false">IF(I311=" ALARM",1,0)</f>
        <v>1</v>
      </c>
      <c r="K311" s="0" t="s">
        <v>20</v>
      </c>
      <c r="L311" s="0" t="n">
        <f aca="false">IF(K311=" ALARM",1,0)</f>
        <v>1</v>
      </c>
      <c r="M311" s="0" t="s">
        <v>20</v>
      </c>
      <c r="N311" s="0" t="n">
        <f aca="false">IF(M311=" ALARM",1,0)</f>
        <v>1</v>
      </c>
      <c r="O311" s="0" t="s">
        <v>982</v>
      </c>
      <c r="P311" s="0" t="s">
        <v>983</v>
      </c>
      <c r="Q311" s="0" t="s">
        <v>984</v>
      </c>
    </row>
    <row r="312" customFormat="false" ht="12.8" hidden="false" customHeight="false" outlineLevel="0" collapsed="false">
      <c r="A312" s="0" t="n">
        <v>1335737</v>
      </c>
      <c r="B312" s="0" t="s">
        <v>985</v>
      </c>
      <c r="C312" s="0" t="n">
        <v>0</v>
      </c>
      <c r="D312" s="0" t="s">
        <v>1052</v>
      </c>
      <c r="E312" s="0" t="s">
        <v>17</v>
      </c>
      <c r="F312" s="0" t="s">
        <v>35</v>
      </c>
      <c r="G312" s="0" t="n">
        <v>39</v>
      </c>
      <c r="H312" s="0" t="s">
        <v>490</v>
      </c>
      <c r="I312" s="0" t="s">
        <v>20</v>
      </c>
      <c r="J312" s="0" t="n">
        <f aca="false">IF(I312=" ALARM",1,0)</f>
        <v>1</v>
      </c>
      <c r="K312" s="0" t="s">
        <v>20</v>
      </c>
      <c r="L312" s="0" t="n">
        <f aca="false">IF(K312=" ALARM",1,0)</f>
        <v>1</v>
      </c>
      <c r="M312" s="0" t="s">
        <v>20</v>
      </c>
      <c r="N312" s="0" t="n">
        <f aca="false">IF(M312=" ALARM",1,0)</f>
        <v>1</v>
      </c>
      <c r="O312" s="0" t="s">
        <v>986</v>
      </c>
      <c r="P312" s="0" t="s">
        <v>987</v>
      </c>
      <c r="Q312" s="0" t="s">
        <v>984</v>
      </c>
    </row>
    <row r="313" customFormat="false" ht="12.8" hidden="false" customHeight="false" outlineLevel="0" collapsed="false">
      <c r="A313" s="0" t="n">
        <v>1332192</v>
      </c>
      <c r="B313" s="0" t="s">
        <v>988</v>
      </c>
      <c r="C313" s="0" t="n">
        <v>0</v>
      </c>
      <c r="D313" s="0" t="s">
        <v>1052</v>
      </c>
      <c r="E313" s="0" t="s">
        <v>17</v>
      </c>
      <c r="F313" s="0" t="s">
        <v>35</v>
      </c>
      <c r="G313" s="0" t="n">
        <v>1246</v>
      </c>
      <c r="H313" s="0" t="s">
        <v>52</v>
      </c>
      <c r="I313" s="0" t="s">
        <v>20</v>
      </c>
      <c r="J313" s="0" t="n">
        <f aca="false">IF(I313=" ALARM",1,0)</f>
        <v>1</v>
      </c>
      <c r="K313" s="0" t="s">
        <v>20</v>
      </c>
      <c r="L313" s="0" t="n">
        <f aca="false">IF(K313=" ALARM",1,0)</f>
        <v>1</v>
      </c>
      <c r="M313" s="0" t="s">
        <v>20</v>
      </c>
      <c r="N313" s="0" t="n">
        <f aca="false">IF(M313=" ALARM",1,0)</f>
        <v>1</v>
      </c>
      <c r="O313" s="0" t="s">
        <v>989</v>
      </c>
      <c r="P313" s="0" t="s">
        <v>990</v>
      </c>
    </row>
    <row r="314" customFormat="false" ht="12.8" hidden="false" customHeight="false" outlineLevel="0" collapsed="false">
      <c r="A314" s="0" t="n">
        <v>1333303</v>
      </c>
      <c r="B314" s="0" t="s">
        <v>991</v>
      </c>
      <c r="C314" s="0" t="n">
        <v>0</v>
      </c>
      <c r="D314" s="0" t="s">
        <v>1052</v>
      </c>
      <c r="E314" s="0" t="s">
        <v>17</v>
      </c>
      <c r="F314" s="0" t="s">
        <v>35</v>
      </c>
      <c r="G314" s="0" t="n">
        <v>1246</v>
      </c>
      <c r="H314" s="0" t="s">
        <v>52</v>
      </c>
      <c r="I314" s="0" t="s">
        <v>20</v>
      </c>
      <c r="J314" s="0" t="n">
        <f aca="false">IF(I314=" ALARM",1,0)</f>
        <v>1</v>
      </c>
      <c r="K314" s="0" t="s">
        <v>20</v>
      </c>
      <c r="L314" s="0" t="n">
        <f aca="false">IF(K314=" ALARM",1,0)</f>
        <v>1</v>
      </c>
      <c r="M314" s="0" t="s">
        <v>20</v>
      </c>
      <c r="N314" s="0" t="n">
        <f aca="false">IF(M314=" ALARM",1,0)</f>
        <v>1</v>
      </c>
      <c r="O314" s="0" t="s">
        <v>992</v>
      </c>
      <c r="P314" s="0" t="s">
        <v>993</v>
      </c>
    </row>
    <row r="315" customFormat="false" ht="12.8" hidden="true" customHeight="false" outlineLevel="0" collapsed="false">
      <c r="A315" s="0" t="n">
        <v>1329261</v>
      </c>
      <c r="B315" s="0" t="s">
        <v>994</v>
      </c>
      <c r="C315" s="0" t="n">
        <v>0</v>
      </c>
      <c r="D315" s="0" t="s">
        <v>1052</v>
      </c>
      <c r="E315" s="0" t="s">
        <v>17</v>
      </c>
      <c r="F315" s="0" t="s">
        <v>35</v>
      </c>
      <c r="G315" s="0" t="n">
        <v>1643</v>
      </c>
      <c r="H315" s="0" t="s">
        <v>52</v>
      </c>
      <c r="I315" s="0" t="s">
        <v>21</v>
      </c>
      <c r="J315" s="0" t="n">
        <f aca="false">IF(I315=" ALARM",1,0)</f>
        <v>0</v>
      </c>
      <c r="K315" s="0" t="s">
        <v>21</v>
      </c>
      <c r="L315" s="0" t="n">
        <f aca="false">IF(K315=" ALARM",1,0)</f>
        <v>0</v>
      </c>
      <c r="M315" s="0" t="s">
        <v>30</v>
      </c>
      <c r="N315" s="0" t="n">
        <f aca="false">IF(M315=" ALARM",1,0)</f>
        <v>0</v>
      </c>
      <c r="O315" s="0" t="s">
        <v>840</v>
      </c>
      <c r="P315" s="0" t="s">
        <v>840</v>
      </c>
    </row>
    <row r="316" customFormat="false" ht="12.8" hidden="true" customHeight="false" outlineLevel="0" collapsed="false">
      <c r="A316" s="0" t="n">
        <v>1329280</v>
      </c>
      <c r="B316" s="0" t="s">
        <v>995</v>
      </c>
      <c r="C316" s="0" t="n">
        <v>0</v>
      </c>
      <c r="D316" s="0" t="s">
        <v>1057</v>
      </c>
      <c r="E316" s="0" t="s">
        <v>17</v>
      </c>
      <c r="F316" s="0" t="s">
        <v>35</v>
      </c>
      <c r="G316" s="0" t="n">
        <v>1643</v>
      </c>
      <c r="H316" s="0" t="s">
        <v>52</v>
      </c>
      <c r="I316" s="0" t="s">
        <v>21</v>
      </c>
      <c r="J316" s="0" t="n">
        <f aca="false">IF(I316=" ALARM",1,0)</f>
        <v>0</v>
      </c>
      <c r="K316" s="0" t="s">
        <v>21</v>
      </c>
      <c r="L316" s="0" t="n">
        <f aca="false">IF(K316=" ALARM",1,0)</f>
        <v>0</v>
      </c>
      <c r="M316" s="0" t="s">
        <v>20</v>
      </c>
      <c r="N316" s="0" t="n">
        <f aca="false">IF(M316=" ALARM",1,0)</f>
        <v>1</v>
      </c>
      <c r="O316" s="0" t="s">
        <v>868</v>
      </c>
      <c r="P316" s="0" t="s">
        <v>868</v>
      </c>
      <c r="Q316" s="0" t="s">
        <v>996</v>
      </c>
    </row>
    <row r="317" customFormat="false" ht="12.8" hidden="true" customHeight="false" outlineLevel="0" collapsed="false">
      <c r="A317" s="0" t="n">
        <v>1329284</v>
      </c>
      <c r="B317" s="0" t="s">
        <v>997</v>
      </c>
      <c r="C317" s="0" t="n">
        <v>0</v>
      </c>
      <c r="D317" s="0" t="s">
        <v>1056</v>
      </c>
      <c r="E317" s="0" t="s">
        <v>17</v>
      </c>
      <c r="F317" s="0" t="s">
        <v>35</v>
      </c>
      <c r="G317" s="0" t="n">
        <v>1643</v>
      </c>
      <c r="H317" s="0" t="s">
        <v>52</v>
      </c>
      <c r="I317" s="0" t="s">
        <v>21</v>
      </c>
      <c r="J317" s="0" t="n">
        <f aca="false">IF(I317=" ALARM",1,0)</f>
        <v>0</v>
      </c>
      <c r="K317" s="0" t="s">
        <v>21</v>
      </c>
      <c r="L317" s="0" t="n">
        <f aca="false">IF(K317=" ALARM",1,0)</f>
        <v>0</v>
      </c>
      <c r="M317" s="0" t="s">
        <v>20</v>
      </c>
      <c r="N317" s="0" t="n">
        <f aca="false">IF(M317=" ALARM",1,0)</f>
        <v>1</v>
      </c>
      <c r="O317" s="0" t="s">
        <v>440</v>
      </c>
      <c r="P317" s="0" t="s">
        <v>440</v>
      </c>
      <c r="Q317" s="0" t="s">
        <v>998</v>
      </c>
    </row>
    <row r="318" customFormat="false" ht="12.8" hidden="true" customHeight="false" outlineLevel="0" collapsed="false">
      <c r="A318" s="0" t="n">
        <v>1332378</v>
      </c>
      <c r="B318" s="0" t="s">
        <v>999</v>
      </c>
      <c r="C318" s="0" t="n">
        <v>0</v>
      </c>
      <c r="D318" s="0" t="s">
        <v>1052</v>
      </c>
      <c r="E318" s="0" t="s">
        <v>17</v>
      </c>
      <c r="F318" s="0" t="s">
        <v>35</v>
      </c>
      <c r="G318" s="0" t="n">
        <v>1643</v>
      </c>
      <c r="H318" s="0" t="s">
        <v>52</v>
      </c>
      <c r="I318" s="0" t="s">
        <v>21</v>
      </c>
      <c r="J318" s="0" t="n">
        <f aca="false">IF(I318=" ALARM",1,0)</f>
        <v>0</v>
      </c>
      <c r="K318" s="0" t="s">
        <v>21</v>
      </c>
      <c r="L318" s="0" t="n">
        <f aca="false">IF(K318=" ALARM",1,0)</f>
        <v>0</v>
      </c>
      <c r="M318" s="0" t="s">
        <v>20</v>
      </c>
      <c r="N318" s="0" t="n">
        <f aca="false">IF(M318=" ALARM",1,0)</f>
        <v>1</v>
      </c>
      <c r="O318" s="0" t="s">
        <v>440</v>
      </c>
      <c r="P318" s="0" t="s">
        <v>440</v>
      </c>
    </row>
    <row r="319" customFormat="false" ht="12.8" hidden="true" customHeight="false" outlineLevel="0" collapsed="false">
      <c r="A319" s="0" t="n">
        <v>1332376</v>
      </c>
      <c r="B319" s="0" t="s">
        <v>1000</v>
      </c>
      <c r="C319" s="0" t="n">
        <v>0</v>
      </c>
      <c r="D319" s="0" t="s">
        <v>1052</v>
      </c>
      <c r="E319" s="0" t="s">
        <v>17</v>
      </c>
      <c r="F319" s="0" t="s">
        <v>35</v>
      </c>
      <c r="G319" s="0" t="n">
        <v>1643</v>
      </c>
      <c r="H319" s="0" t="s">
        <v>52</v>
      </c>
      <c r="I319" s="0" t="s">
        <v>20</v>
      </c>
      <c r="J319" s="0" t="n">
        <f aca="false">IF(I319=" ALARM",1,0)</f>
        <v>1</v>
      </c>
      <c r="K319" s="0" t="s">
        <v>20</v>
      </c>
      <c r="L319" s="0" t="n">
        <f aca="false">IF(K319=" ALARM",1,0)</f>
        <v>1</v>
      </c>
      <c r="M319" s="0" t="s">
        <v>20</v>
      </c>
      <c r="N319" s="0" t="n">
        <f aca="false">IF(M319=" ALARM",1,0)</f>
        <v>1</v>
      </c>
      <c r="O319" s="0" t="s">
        <v>1001</v>
      </c>
      <c r="P319" s="0" t="s">
        <v>1002</v>
      </c>
    </row>
    <row r="320" customFormat="false" ht="12.8" hidden="true" customHeight="false" outlineLevel="0" collapsed="false">
      <c r="A320" s="0" t="n">
        <v>1332361</v>
      </c>
      <c r="B320" s="0" t="s">
        <v>1003</v>
      </c>
      <c r="C320" s="0" t="n">
        <v>0</v>
      </c>
      <c r="D320" s="0" t="s">
        <v>1052</v>
      </c>
      <c r="E320" s="0" t="s">
        <v>17</v>
      </c>
      <c r="F320" s="0" t="s">
        <v>35</v>
      </c>
      <c r="G320" s="0" t="n">
        <v>1643</v>
      </c>
      <c r="H320" s="0" t="s">
        <v>52</v>
      </c>
      <c r="I320" s="0" t="s">
        <v>20</v>
      </c>
      <c r="J320" s="0" t="n">
        <f aca="false">IF(I320=" ALARM",1,0)</f>
        <v>1</v>
      </c>
      <c r="K320" s="0" t="s">
        <v>20</v>
      </c>
      <c r="L320" s="0" t="n">
        <f aca="false">IF(K320=" ALARM",1,0)</f>
        <v>1</v>
      </c>
      <c r="M320" s="0" t="s">
        <v>20</v>
      </c>
      <c r="N320" s="0" t="n">
        <f aca="false">IF(M320=" ALARM",1,0)</f>
        <v>1</v>
      </c>
      <c r="O320" s="0" t="s">
        <v>1004</v>
      </c>
      <c r="P320" s="0" t="s">
        <v>1005</v>
      </c>
    </row>
    <row r="321" customFormat="false" ht="12.8" hidden="true" customHeight="false" outlineLevel="0" collapsed="false">
      <c r="A321" s="0" t="n">
        <v>1332354</v>
      </c>
      <c r="B321" s="0" t="s">
        <v>1006</v>
      </c>
      <c r="C321" s="0" t="n">
        <v>0</v>
      </c>
      <c r="D321" s="0" t="s">
        <v>1052</v>
      </c>
      <c r="E321" s="0" t="s">
        <v>17</v>
      </c>
      <c r="F321" s="0" t="s">
        <v>97</v>
      </c>
      <c r="G321" s="0" t="n">
        <v>1643</v>
      </c>
      <c r="H321" s="0" t="s">
        <v>52</v>
      </c>
      <c r="I321" s="0" t="s">
        <v>21</v>
      </c>
      <c r="J321" s="0" t="n">
        <f aca="false">IF(I321=" ALARM",1,0)</f>
        <v>0</v>
      </c>
      <c r="K321" s="0" t="s">
        <v>21</v>
      </c>
      <c r="L321" s="0" t="n">
        <f aca="false">IF(K321=" ALARM",1,0)</f>
        <v>0</v>
      </c>
      <c r="M321" s="0" t="s">
        <v>30</v>
      </c>
      <c r="N321" s="0" t="n">
        <f aca="false">IF(M321=" ALARM",1,0)</f>
        <v>0</v>
      </c>
      <c r="O321" s="0" t="s">
        <v>440</v>
      </c>
      <c r="P321" s="0" t="s">
        <v>440</v>
      </c>
      <c r="Q321" s="0" t="s">
        <v>1007</v>
      </c>
    </row>
    <row r="322" customFormat="false" ht="12.8" hidden="true" customHeight="false" outlineLevel="0" collapsed="false">
      <c r="A322" s="0" t="n">
        <v>1332358</v>
      </c>
      <c r="B322" s="0" t="s">
        <v>1008</v>
      </c>
      <c r="C322" s="0" t="n">
        <v>0</v>
      </c>
      <c r="D322" s="0" t="s">
        <v>1052</v>
      </c>
      <c r="E322" s="0" t="s">
        <v>17</v>
      </c>
      <c r="F322" s="0" t="s">
        <v>36</v>
      </c>
      <c r="G322" s="0" t="n">
        <v>1643</v>
      </c>
      <c r="H322" s="0" t="s">
        <v>52</v>
      </c>
      <c r="I322" s="0" t="s">
        <v>20</v>
      </c>
      <c r="J322" s="0" t="n">
        <f aca="false">IF(I322=" ALARM",1,0)</f>
        <v>1</v>
      </c>
      <c r="K322" s="0" t="s">
        <v>20</v>
      </c>
      <c r="L322" s="0" t="n">
        <f aca="false">IF(K322=" ALARM",1,0)</f>
        <v>1</v>
      </c>
      <c r="M322" s="0" t="s">
        <v>30</v>
      </c>
      <c r="N322" s="0" t="n">
        <f aca="false">IF(M322=" ALARM",1,0)</f>
        <v>0</v>
      </c>
      <c r="O322" s="0" t="s">
        <v>1009</v>
      </c>
      <c r="P322" s="0" t="s">
        <v>1010</v>
      </c>
      <c r="Q322" s="0" t="s">
        <v>1011</v>
      </c>
    </row>
    <row r="323" customFormat="false" ht="12.8" hidden="true" customHeight="false" outlineLevel="0" collapsed="false">
      <c r="A323" s="0" t="n">
        <v>1332381</v>
      </c>
      <c r="B323" s="0" t="s">
        <v>1012</v>
      </c>
      <c r="C323" s="0" t="n">
        <v>0</v>
      </c>
      <c r="D323" s="0" t="s">
        <v>1052</v>
      </c>
      <c r="E323" s="0" t="s">
        <v>17</v>
      </c>
      <c r="F323" s="0" t="s">
        <v>36</v>
      </c>
      <c r="G323" s="0" t="n">
        <v>1643</v>
      </c>
      <c r="H323" s="0" t="s">
        <v>52</v>
      </c>
      <c r="I323" s="0" t="s">
        <v>21</v>
      </c>
      <c r="J323" s="0" t="n">
        <f aca="false">IF(I323=" ALARM",1,0)</f>
        <v>0</v>
      </c>
      <c r="K323" s="0" t="s">
        <v>21</v>
      </c>
      <c r="L323" s="0" t="n">
        <f aca="false">IF(K323=" ALARM",1,0)</f>
        <v>0</v>
      </c>
      <c r="M323" s="0" t="s">
        <v>20</v>
      </c>
      <c r="N323" s="0" t="n">
        <f aca="false">IF(M323=" ALARM",1,0)</f>
        <v>1</v>
      </c>
      <c r="O323" s="0" t="s">
        <v>440</v>
      </c>
      <c r="P323" s="0" t="s">
        <v>440</v>
      </c>
      <c r="Q323" s="0" t="s">
        <v>1011</v>
      </c>
    </row>
    <row r="324" customFormat="false" ht="12.8" hidden="true" customHeight="false" outlineLevel="0" collapsed="false">
      <c r="A324" s="0" t="n">
        <v>1332391</v>
      </c>
      <c r="B324" s="0" t="s">
        <v>1013</v>
      </c>
      <c r="C324" s="0" t="n">
        <v>0</v>
      </c>
      <c r="D324" s="0" t="s">
        <v>1052</v>
      </c>
      <c r="E324" s="0" t="s">
        <v>17</v>
      </c>
      <c r="F324" s="0" t="s">
        <v>36</v>
      </c>
      <c r="G324" s="0" t="n">
        <v>1643</v>
      </c>
      <c r="H324" s="0" t="s">
        <v>52</v>
      </c>
      <c r="I324" s="0" t="s">
        <v>21</v>
      </c>
      <c r="J324" s="0" t="n">
        <f aca="false">IF(I324=" ALARM",1,0)</f>
        <v>0</v>
      </c>
      <c r="K324" s="0" t="s">
        <v>21</v>
      </c>
      <c r="L324" s="0" t="n">
        <f aca="false">IF(K324=" ALARM",1,0)</f>
        <v>0</v>
      </c>
      <c r="M324" s="0" t="s">
        <v>30</v>
      </c>
      <c r="N324" s="0" t="n">
        <f aca="false">IF(M324=" ALARM",1,0)</f>
        <v>0</v>
      </c>
      <c r="O324" s="0" t="s">
        <v>440</v>
      </c>
      <c r="P324" s="0" t="s">
        <v>440</v>
      </c>
      <c r="Q324" s="0" t="s">
        <v>1014</v>
      </c>
    </row>
    <row r="325" customFormat="false" ht="12.8" hidden="true" customHeight="false" outlineLevel="0" collapsed="false">
      <c r="A325" s="0" t="n">
        <v>1332392</v>
      </c>
      <c r="B325" s="0" t="s">
        <v>1015</v>
      </c>
      <c r="C325" s="0" t="n">
        <v>0</v>
      </c>
      <c r="D325" s="0" t="s">
        <v>1052</v>
      </c>
      <c r="E325" s="0" t="s">
        <v>17</v>
      </c>
      <c r="F325" s="0" t="s">
        <v>97</v>
      </c>
      <c r="G325" s="0" t="n">
        <v>1643</v>
      </c>
      <c r="H325" s="0" t="s">
        <v>52</v>
      </c>
      <c r="I325" s="0" t="s">
        <v>21</v>
      </c>
      <c r="J325" s="0" t="n">
        <f aca="false">IF(I325=" ALARM",1,0)</f>
        <v>0</v>
      </c>
      <c r="K325" s="0" t="s">
        <v>21</v>
      </c>
      <c r="L325" s="0" t="n">
        <f aca="false">IF(K325=" ALARM",1,0)</f>
        <v>0</v>
      </c>
      <c r="M325" s="0" t="s">
        <v>30</v>
      </c>
      <c r="N325" s="0" t="n">
        <f aca="false">IF(M325=" ALARM",1,0)</f>
        <v>0</v>
      </c>
      <c r="O325" s="0" t="s">
        <v>440</v>
      </c>
      <c r="P325" s="0" t="s">
        <v>440</v>
      </c>
      <c r="Q325" s="0" t="s">
        <v>1016</v>
      </c>
    </row>
    <row r="326" customFormat="false" ht="12.8" hidden="true" customHeight="false" outlineLevel="0" collapsed="false">
      <c r="A326" s="0" t="n">
        <v>1333417</v>
      </c>
      <c r="B326" s="0" t="s">
        <v>1017</v>
      </c>
      <c r="C326" s="0" t="n">
        <v>0</v>
      </c>
      <c r="D326" s="0" t="s">
        <v>1052</v>
      </c>
      <c r="E326" s="0" t="s">
        <v>17</v>
      </c>
      <c r="F326" s="0" t="s">
        <v>35</v>
      </c>
      <c r="G326" s="0" t="n">
        <v>1643</v>
      </c>
      <c r="H326" s="0" t="s">
        <v>52</v>
      </c>
      <c r="I326" s="0" t="s">
        <v>21</v>
      </c>
      <c r="J326" s="0" t="n">
        <f aca="false">IF(I326=" ALARM",1,0)</f>
        <v>0</v>
      </c>
      <c r="K326" s="0" t="s">
        <v>21</v>
      </c>
      <c r="L326" s="0" t="n">
        <f aca="false">IF(K326=" ALARM",1,0)</f>
        <v>0</v>
      </c>
      <c r="M326" s="0" t="s">
        <v>20</v>
      </c>
      <c r="N326" s="0" t="n">
        <f aca="false">IF(M326=" ALARM",1,0)</f>
        <v>1</v>
      </c>
      <c r="O326" s="0" t="s">
        <v>440</v>
      </c>
      <c r="P326" s="0" t="s">
        <v>440</v>
      </c>
      <c r="Q326" s="0" t="s">
        <v>1018</v>
      </c>
    </row>
    <row r="327" customFormat="false" ht="12.8" hidden="true" customHeight="false" outlineLevel="0" collapsed="false">
      <c r="A327" s="0" t="n">
        <v>1333420</v>
      </c>
      <c r="B327" s="0" t="s">
        <v>1019</v>
      </c>
      <c r="C327" s="0" t="n">
        <v>0</v>
      </c>
      <c r="D327" s="0" t="s">
        <v>1052</v>
      </c>
      <c r="E327" s="0" t="s">
        <v>17</v>
      </c>
      <c r="F327" s="0" t="s">
        <v>35</v>
      </c>
      <c r="G327" s="0" t="n">
        <v>1643</v>
      </c>
      <c r="H327" s="0" t="s">
        <v>52</v>
      </c>
      <c r="I327" s="0" t="s">
        <v>21</v>
      </c>
      <c r="J327" s="0" t="n">
        <f aca="false">IF(I327=" ALARM",1,0)</f>
        <v>0</v>
      </c>
      <c r="K327" s="0" t="s">
        <v>21</v>
      </c>
      <c r="L327" s="0" t="n">
        <f aca="false">IF(K327=" ALARM",1,0)</f>
        <v>0</v>
      </c>
      <c r="M327" s="0" t="s">
        <v>30</v>
      </c>
      <c r="N327" s="0" t="n">
        <f aca="false">IF(M327=" ALARM",1,0)</f>
        <v>0</v>
      </c>
      <c r="O327" s="0" t="s">
        <v>440</v>
      </c>
      <c r="P327" s="0" t="s">
        <v>440</v>
      </c>
      <c r="Q327" s="0" t="s">
        <v>1020</v>
      </c>
    </row>
    <row r="328" customFormat="false" ht="12.8" hidden="false" customHeight="false" outlineLevel="0" collapsed="false">
      <c r="A328" s="0" t="n">
        <v>1337717</v>
      </c>
      <c r="B328" s="0" t="s">
        <v>1021</v>
      </c>
      <c r="C328" s="0" t="n">
        <v>0</v>
      </c>
      <c r="E328" s="0" t="s">
        <v>17</v>
      </c>
      <c r="F328" s="0" t="s">
        <v>35</v>
      </c>
      <c r="G328" s="0" t="n">
        <v>1640</v>
      </c>
      <c r="H328" s="0" t="s">
        <v>490</v>
      </c>
      <c r="I328" s="0" t="s">
        <v>30</v>
      </c>
      <c r="J328" s="0" t="n">
        <f aca="false">IF(I328=" ALARM",1,0)</f>
        <v>0</v>
      </c>
      <c r="K328" s="0" t="s">
        <v>20</v>
      </c>
      <c r="L328" s="0" t="n">
        <f aca="false">IF(K328=" ALARM",1,0)</f>
        <v>1</v>
      </c>
      <c r="M328" s="0" t="s">
        <v>20</v>
      </c>
      <c r="N328" s="0" t="n">
        <f aca="false">IF(M328=" ALARM",1,0)</f>
        <v>1</v>
      </c>
      <c r="O328" s="0" t="s">
        <v>1022</v>
      </c>
      <c r="P328" s="0" t="s">
        <v>1023</v>
      </c>
    </row>
    <row r="329" customFormat="false" ht="12.8" hidden="true" customHeight="false" outlineLevel="0" collapsed="false">
      <c r="A329" s="0" t="n">
        <v>1335893</v>
      </c>
      <c r="B329" s="0" t="s">
        <v>1024</v>
      </c>
      <c r="C329" s="0" t="n">
        <v>0</v>
      </c>
      <c r="D329" s="0" t="s">
        <v>1052</v>
      </c>
      <c r="E329" s="0" t="s">
        <v>17</v>
      </c>
      <c r="F329" s="0" t="s">
        <v>35</v>
      </c>
      <c r="G329" s="0" t="n">
        <v>1643</v>
      </c>
      <c r="H329" s="0" t="s">
        <v>52</v>
      </c>
      <c r="I329" s="0" t="s">
        <v>21</v>
      </c>
      <c r="J329" s="0" t="n">
        <f aca="false">IF(I329=" ALARM",1,0)</f>
        <v>0</v>
      </c>
      <c r="K329" s="0" t="s">
        <v>21</v>
      </c>
      <c r="L329" s="0" t="n">
        <f aca="false">IF(K329=" ALARM",1,0)</f>
        <v>0</v>
      </c>
      <c r="M329" s="0" t="s">
        <v>30</v>
      </c>
      <c r="N329" s="0" t="n">
        <f aca="false">IF(M329=" ALARM",1,0)</f>
        <v>0</v>
      </c>
      <c r="O329" s="0" t="s">
        <v>440</v>
      </c>
      <c r="P329" s="0" t="s">
        <v>440</v>
      </c>
      <c r="Q329" s="0" t="s">
        <v>1025</v>
      </c>
    </row>
    <row r="330" customFormat="false" ht="12.8" hidden="true" customHeight="false" outlineLevel="0" collapsed="false">
      <c r="A330" s="0" t="n">
        <v>1336046</v>
      </c>
      <c r="B330" s="0" t="s">
        <v>1026</v>
      </c>
      <c r="C330" s="0" t="n">
        <v>0</v>
      </c>
      <c r="D330" s="0" t="s">
        <v>1058</v>
      </c>
      <c r="E330" s="0" t="s">
        <v>17</v>
      </c>
      <c r="F330" s="0" t="s">
        <v>35</v>
      </c>
      <c r="G330" s="0" t="n">
        <v>1643</v>
      </c>
      <c r="H330" s="0" t="s">
        <v>52</v>
      </c>
      <c r="I330" s="0" t="s">
        <v>21</v>
      </c>
      <c r="J330" s="0" t="n">
        <f aca="false">IF(I330=" ALARM",1,0)</f>
        <v>0</v>
      </c>
      <c r="K330" s="0" t="s">
        <v>21</v>
      </c>
      <c r="L330" s="0" t="n">
        <f aca="false">IF(K330=" ALARM",1,0)</f>
        <v>0</v>
      </c>
      <c r="M330" s="0" t="s">
        <v>21</v>
      </c>
      <c r="N330" s="0" t="n">
        <f aca="false">IF(M330=" ALARM",1,0)</f>
        <v>0</v>
      </c>
      <c r="O330" s="0" t="s">
        <v>868</v>
      </c>
      <c r="P330" s="0" t="s">
        <v>868</v>
      </c>
      <c r="Q330" s="0" t="s">
        <v>1025</v>
      </c>
    </row>
    <row r="331" customFormat="false" ht="12.8" hidden="true" customHeight="false" outlineLevel="0" collapsed="false">
      <c r="A331" s="0" t="n">
        <v>1336047</v>
      </c>
      <c r="B331" s="0" t="s">
        <v>1027</v>
      </c>
      <c r="C331" s="0" t="n">
        <v>1</v>
      </c>
      <c r="D331" s="0" t="s">
        <v>1059</v>
      </c>
      <c r="E331" s="0" t="s">
        <v>17</v>
      </c>
      <c r="F331" s="0" t="s">
        <v>35</v>
      </c>
      <c r="G331" s="0" t="n">
        <v>1643</v>
      </c>
      <c r="H331" s="0" t="s">
        <v>52</v>
      </c>
      <c r="I331" s="0" t="s">
        <v>21</v>
      </c>
      <c r="J331" s="0" t="n">
        <f aca="false">IF(I331=" ALARM",1,0)</f>
        <v>0</v>
      </c>
      <c r="K331" s="0" t="s">
        <v>21</v>
      </c>
      <c r="L331" s="0" t="n">
        <f aca="false">IF(K331=" ALARM",1,0)</f>
        <v>0</v>
      </c>
      <c r="M331" s="0" t="s">
        <v>21</v>
      </c>
      <c r="N331" s="0" t="n">
        <f aca="false">IF(M331=" ALARM",1,0)</f>
        <v>0</v>
      </c>
      <c r="O331" s="0" t="s">
        <v>868</v>
      </c>
      <c r="P331" s="0" t="s">
        <v>868</v>
      </c>
      <c r="Q331" s="0" t="s">
        <v>1025</v>
      </c>
    </row>
    <row r="332" customFormat="false" ht="12.8" hidden="true" customHeight="false" outlineLevel="0" collapsed="false">
      <c r="A332" s="0" t="n">
        <v>1336048</v>
      </c>
      <c r="B332" s="0" t="s">
        <v>1028</v>
      </c>
      <c r="C332" s="0" t="n">
        <v>1</v>
      </c>
      <c r="D332" s="0" t="s">
        <v>1060</v>
      </c>
      <c r="E332" s="0" t="s">
        <v>17</v>
      </c>
      <c r="F332" s="0" t="s">
        <v>35</v>
      </c>
      <c r="G332" s="0" t="n">
        <v>1643</v>
      </c>
      <c r="H332" s="0" t="s">
        <v>52</v>
      </c>
      <c r="I332" s="0" t="s">
        <v>21</v>
      </c>
      <c r="J332" s="0" t="n">
        <f aca="false">IF(I332=" ALARM",1,0)</f>
        <v>0</v>
      </c>
      <c r="K332" s="0" t="s">
        <v>21</v>
      </c>
      <c r="L332" s="0" t="n">
        <f aca="false">IF(K332=" ALARM",1,0)</f>
        <v>0</v>
      </c>
      <c r="M332" s="0" t="s">
        <v>21</v>
      </c>
      <c r="N332" s="0" t="n">
        <f aca="false">IF(M332=" ALARM",1,0)</f>
        <v>0</v>
      </c>
      <c r="O332" s="0" t="s">
        <v>1029</v>
      </c>
      <c r="P332" s="0" t="s">
        <v>1029</v>
      </c>
      <c r="Q332" s="0" t="s">
        <v>1025</v>
      </c>
    </row>
    <row r="333" customFormat="false" ht="12.8" hidden="true" customHeight="false" outlineLevel="0" collapsed="false">
      <c r="A333" s="0" t="n">
        <v>1336050</v>
      </c>
      <c r="B333" s="0" t="s">
        <v>1030</v>
      </c>
      <c r="C333" s="0" t="n">
        <v>1</v>
      </c>
      <c r="D333" s="0" t="s">
        <v>1061</v>
      </c>
      <c r="E333" s="0" t="s">
        <v>17</v>
      </c>
      <c r="F333" s="0" t="s">
        <v>35</v>
      </c>
      <c r="G333" s="0" t="n">
        <v>1643</v>
      </c>
      <c r="H333" s="0" t="s">
        <v>52</v>
      </c>
      <c r="I333" s="0" t="s">
        <v>21</v>
      </c>
      <c r="J333" s="0" t="n">
        <f aca="false">IF(I333=" ALARM",1,0)</f>
        <v>0</v>
      </c>
      <c r="K333" s="0" t="s">
        <v>21</v>
      </c>
      <c r="L333" s="0" t="n">
        <f aca="false">IF(K333=" ALARM",1,0)</f>
        <v>0</v>
      </c>
      <c r="M333" s="0" t="s">
        <v>21</v>
      </c>
      <c r="N333" s="0" t="n">
        <f aca="false">IF(M333=" ALARM",1,0)</f>
        <v>0</v>
      </c>
      <c r="O333" s="0" t="s">
        <v>1031</v>
      </c>
      <c r="P333" s="0" t="s">
        <v>1031</v>
      </c>
      <c r="Q333" s="0" t="s">
        <v>1025</v>
      </c>
    </row>
    <row r="334" customFormat="false" ht="12.8" hidden="true" customHeight="false" outlineLevel="0" collapsed="false">
      <c r="A334" s="0" t="n">
        <v>1337570</v>
      </c>
      <c r="B334" s="0" t="s">
        <v>1032</v>
      </c>
      <c r="C334" s="0" t="n">
        <v>0</v>
      </c>
      <c r="D334" s="0" t="s">
        <v>1052</v>
      </c>
      <c r="E334" s="0" t="s">
        <v>17</v>
      </c>
      <c r="F334" s="0" t="s">
        <v>35</v>
      </c>
      <c r="G334" s="0" t="n">
        <v>1643</v>
      </c>
      <c r="H334" s="0" t="s">
        <v>52</v>
      </c>
      <c r="I334" s="0" t="s">
        <v>21</v>
      </c>
      <c r="J334" s="0" t="n">
        <f aca="false">IF(I334=" ALARM",1,0)</f>
        <v>0</v>
      </c>
      <c r="K334" s="0" t="s">
        <v>21</v>
      </c>
      <c r="L334" s="0" t="n">
        <f aca="false">IF(K334=" ALARM",1,0)</f>
        <v>0</v>
      </c>
      <c r="M334" s="0" t="s">
        <v>30</v>
      </c>
      <c r="N334" s="0" t="n">
        <f aca="false">IF(M334=" ALARM",1,0)</f>
        <v>0</v>
      </c>
      <c r="O334" s="0" t="s">
        <v>440</v>
      </c>
      <c r="P334" s="0" t="s">
        <v>440</v>
      </c>
      <c r="Q334" s="0" t="s">
        <v>1033</v>
      </c>
    </row>
    <row r="335" customFormat="false" ht="12.8" hidden="true" customHeight="false" outlineLevel="0" collapsed="false">
      <c r="A335" s="0" t="n">
        <v>1337576</v>
      </c>
      <c r="B335" s="0" t="s">
        <v>1034</v>
      </c>
      <c r="C335" s="0" t="n">
        <v>0</v>
      </c>
      <c r="D335" s="0" t="s">
        <v>1052</v>
      </c>
      <c r="E335" s="0" t="s">
        <v>17</v>
      </c>
      <c r="F335" s="0" t="s">
        <v>35</v>
      </c>
      <c r="G335" s="0" t="n">
        <v>1643</v>
      </c>
      <c r="H335" s="0" t="s">
        <v>52</v>
      </c>
      <c r="I335" s="0" t="s">
        <v>21</v>
      </c>
      <c r="J335" s="0" t="n">
        <f aca="false">IF(I335=" ALARM",1,0)</f>
        <v>0</v>
      </c>
      <c r="K335" s="0" t="s">
        <v>21</v>
      </c>
      <c r="L335" s="0" t="n">
        <f aca="false">IF(K335=" ALARM",1,0)</f>
        <v>0</v>
      </c>
      <c r="M335" s="0" t="s">
        <v>30</v>
      </c>
      <c r="N335" s="0" t="n">
        <f aca="false">IF(M335=" ALARM",1,0)</f>
        <v>0</v>
      </c>
      <c r="O335" s="0" t="s">
        <v>440</v>
      </c>
      <c r="P335" s="0" t="s">
        <v>440</v>
      </c>
      <c r="Q335" s="0" t="s">
        <v>1033</v>
      </c>
    </row>
    <row r="336" customFormat="false" ht="12.8" hidden="true" customHeight="false" outlineLevel="0" collapsed="false">
      <c r="A336" s="0" t="n">
        <v>1337577</v>
      </c>
      <c r="B336" s="0" t="s">
        <v>1035</v>
      </c>
      <c r="C336" s="0" t="n">
        <v>1</v>
      </c>
      <c r="D336" s="0" t="s">
        <v>1062</v>
      </c>
      <c r="E336" s="0" t="s">
        <v>17</v>
      </c>
      <c r="F336" s="0" t="s">
        <v>35</v>
      </c>
      <c r="G336" s="0" t="n">
        <v>1643</v>
      </c>
      <c r="H336" s="0" t="s">
        <v>52</v>
      </c>
      <c r="I336" s="0" t="s">
        <v>21</v>
      </c>
      <c r="J336" s="0" t="n">
        <f aca="false">IF(I336=" ALARM",1,0)</f>
        <v>0</v>
      </c>
      <c r="K336" s="0" t="s">
        <v>21</v>
      </c>
      <c r="L336" s="0" t="n">
        <f aca="false">IF(K336=" ALARM",1,0)</f>
        <v>0</v>
      </c>
      <c r="M336" s="0" t="s">
        <v>30</v>
      </c>
      <c r="N336" s="0" t="n">
        <f aca="false">IF(M336=" ALARM",1,0)</f>
        <v>0</v>
      </c>
      <c r="O336" s="0" t="s">
        <v>440</v>
      </c>
      <c r="P336" s="0" t="s">
        <v>440</v>
      </c>
      <c r="Q336" s="0" t="s">
        <v>1033</v>
      </c>
    </row>
    <row r="337" customFormat="false" ht="12.8" hidden="true" customHeight="false" outlineLevel="0" collapsed="false">
      <c r="A337" s="0" t="n">
        <v>1337586</v>
      </c>
      <c r="B337" s="0" t="s">
        <v>1036</v>
      </c>
      <c r="C337" s="0" t="n">
        <v>0</v>
      </c>
      <c r="D337" s="0" t="s">
        <v>1052</v>
      </c>
      <c r="E337" s="0" t="s">
        <v>17</v>
      </c>
      <c r="F337" s="0" t="s">
        <v>35</v>
      </c>
      <c r="G337" s="0" t="n">
        <v>1643</v>
      </c>
      <c r="H337" s="0" t="s">
        <v>52</v>
      </c>
      <c r="I337" s="0" t="s">
        <v>21</v>
      </c>
      <c r="J337" s="0" t="n">
        <f aca="false">IF(I337=" ALARM",1,0)</f>
        <v>0</v>
      </c>
      <c r="K337" s="0" t="s">
        <v>21</v>
      </c>
      <c r="L337" s="0" t="n">
        <f aca="false">IF(K337=" ALARM",1,0)</f>
        <v>0</v>
      </c>
      <c r="M337" s="0" t="s">
        <v>30</v>
      </c>
      <c r="N337" s="0" t="n">
        <f aca="false">IF(M337=" ALARM",1,0)</f>
        <v>0</v>
      </c>
      <c r="O337" s="0" t="s">
        <v>440</v>
      </c>
      <c r="P337" s="0" t="s">
        <v>440</v>
      </c>
      <c r="Q337" s="0" t="s">
        <v>1033</v>
      </c>
    </row>
    <row r="338" customFormat="false" ht="12.8" hidden="true" customHeight="false" outlineLevel="0" collapsed="false">
      <c r="A338" s="0" t="n">
        <v>1337593</v>
      </c>
      <c r="B338" s="0" t="s">
        <v>1037</v>
      </c>
      <c r="C338" s="0" t="n">
        <v>0</v>
      </c>
      <c r="D338" s="0" t="s">
        <v>1052</v>
      </c>
      <c r="E338" s="0" t="s">
        <v>17</v>
      </c>
      <c r="F338" s="0" t="s">
        <v>35</v>
      </c>
      <c r="G338" s="0" t="n">
        <v>1643</v>
      </c>
      <c r="H338" s="0" t="s">
        <v>52</v>
      </c>
      <c r="I338" s="0" t="s">
        <v>21</v>
      </c>
      <c r="J338" s="0" t="n">
        <f aca="false">IF(I338=" ALARM",1,0)</f>
        <v>0</v>
      </c>
      <c r="K338" s="0" t="s">
        <v>20</v>
      </c>
      <c r="L338" s="0" t="n">
        <f aca="false">IF(K338=" ALARM",1,0)</f>
        <v>1</v>
      </c>
      <c r="M338" s="0" t="s">
        <v>20</v>
      </c>
      <c r="N338" s="0" t="n">
        <f aca="false">IF(M338=" ALARM",1,0)</f>
        <v>1</v>
      </c>
      <c r="O338" s="0" t="s">
        <v>440</v>
      </c>
      <c r="P338" s="0" t="s">
        <v>1038</v>
      </c>
      <c r="Q338" s="0" t="s">
        <v>1039</v>
      </c>
    </row>
    <row r="339" customFormat="false" ht="12.8" hidden="true" customHeight="false" outlineLevel="0" collapsed="false">
      <c r="A339" s="0" t="n">
        <v>1337610</v>
      </c>
      <c r="B339" s="0" t="s">
        <v>1040</v>
      </c>
      <c r="C339" s="0" t="n">
        <v>0</v>
      </c>
      <c r="E339" s="0" t="s">
        <v>17</v>
      </c>
      <c r="F339" s="0" t="s">
        <v>35</v>
      </c>
      <c r="G339" s="0" t="n">
        <v>1643</v>
      </c>
      <c r="H339" s="0" t="s">
        <v>52</v>
      </c>
      <c r="I339" s="0" t="s">
        <v>20</v>
      </c>
      <c r="J339" s="0" t="n">
        <f aca="false">IF(I339=" ALARM",1,0)</f>
        <v>1</v>
      </c>
      <c r="K339" s="0" t="s">
        <v>20</v>
      </c>
      <c r="L339" s="0" t="n">
        <f aca="false">IF(K339=" ALARM",1,0)</f>
        <v>1</v>
      </c>
      <c r="M339" s="0" t="s">
        <v>20</v>
      </c>
      <c r="N339" s="0" t="n">
        <f aca="false">IF(M339=" ALARM",1,0)</f>
        <v>1</v>
      </c>
      <c r="O339" s="0" t="s">
        <v>1041</v>
      </c>
      <c r="P339" s="0" t="s">
        <v>1042</v>
      </c>
      <c r="Q339" s="0" t="s">
        <v>1043</v>
      </c>
    </row>
  </sheetData>
  <autoFilter ref="A6:Q339">
    <filterColumn colId="0">
      <customFilters and="true">
        <customFilter operator="greaterThan" val="900000"/>
      </customFilters>
    </filterColumn>
    <filterColumn colId="2">
      <filters blank="1">
        <filter val="0"/>
      </filters>
    </filterColumn>
    <filterColumn colId="5">
      <filters>
        <filter val=" Tonic-Clonic"/>
      </filters>
    </filterColumn>
    <filterColumn colId="6">
      <filters>
        <filter val="1246"/>
        <filter val="1422"/>
        <filter val="1640"/>
        <filter val="39"/>
        <filter val="733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0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2026-06-24T22:54:55Z</dcterms:modified>
  <cp:revision>27</cp:revision>
  <dc:subject/>
  <dc:title/>
</cp:coreProperties>
</file>